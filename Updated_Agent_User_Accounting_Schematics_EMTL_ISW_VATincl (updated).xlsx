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929" firstSheet="16" activeTab="21" autoFilterDateGrouping="1"/>
  </bookViews>
  <sheets>
    <sheet name="Agent Types_Tranx &amp; Charges" sheetId="1" state="visible" r:id="rId1"/>
    <sheet name="KYC_Features &amp; Limits" sheetId="2" state="visible" r:id="rId2"/>
    <sheet name="Transaction Limits" sheetId="3" state="visible" r:id="rId3"/>
    <sheet name="Card Withdrawal Charge Per Band" sheetId="4" state="visible" r:id="rId4"/>
    <sheet name="Accounting Schematics (2)" sheetId="5" state="hidden" r:id="rId5"/>
    <sheet name="Customer Onboarding" sheetId="6" state="hidden" r:id="rId6"/>
    <sheet name="Cashout Fees&amp;Splitting_Silver " sheetId="7" state="visible" r:id="rId7"/>
    <sheet name="Cashout Fees&amp;Splitting Gold" sheetId="8" state="visible" r:id="rId8"/>
    <sheet name="Cashout Fees&amp;Splitting Platinum" sheetId="9" state="visible" r:id="rId9"/>
    <sheet name="Cashout with Card (ISW) " sheetId="10" state="visible" r:id="rId10"/>
    <sheet name="Card Transfer (ISW)" sheetId="11" state="visible" r:id="rId11"/>
    <sheet name="Agent Wallet Funding from 9PSB" sheetId="12" state="visible" r:id="rId12"/>
    <sheet name="Cashout_Accounting Schematics" sheetId="13" state="hidden" r:id="rId13"/>
    <sheet name="Wallet Funding from other Banks" sheetId="14" state="visible" r:id="rId14"/>
    <sheet name="Transfer to 9PSB Account" sheetId="15" state="visible" r:id="rId15"/>
    <sheet name="Transfer to Other Banks" sheetId="16" state="visible" r:id="rId16"/>
    <sheet name="Airtime_Data " sheetId="17" state="visible" r:id="rId17"/>
    <sheet name="Airtime_Data  (2)" sheetId="18" state="visible" r:id="rId18"/>
    <sheet name="Bills Payment " sheetId="19" state="visible" r:id="rId19"/>
    <sheet name="Bills Comm Rate " sheetId="20" state="visible" r:id="rId20"/>
    <sheet name="Agent Commission Cashout" sheetId="21" state="visible" r:id="rId21"/>
    <sheet name="SLP Commission Cashout " sheetId="22" state="visible" r:id="rId22"/>
    <sheet name="Cashout_Accounting Schemati (2)" sheetId="23" state="hidden" r:id="rId23"/>
  </sheets>
  <definedNames>
    <definedName name="_xlnm.Print_Area" localSheetId="2">'Transaction Limits'!$B$3:$C$7</definedName>
    <definedName name="_xlnm.Print_Area" localSheetId="3">'Card Withdrawal Charge Per Band'!$B$3:$C$13</definedName>
    <definedName name="_Hlk65652728" localSheetId="4">'Accounting Schematics (2)'!$C$4</definedName>
    <definedName name="_xlnm.Print_Area" localSheetId="6">'Cashout Fees&amp;Splitting_Silver '!$B$9:$E$37</definedName>
    <definedName name="_xlnm.Print_Area" localSheetId="7">'Cashout Fees&amp;Splitting Gold'!$B$9:$G$37</definedName>
    <definedName name="_xlnm.Print_Area" localSheetId="8">'Cashout Fees&amp;Splitting Platinum'!$B$10:$G$38</definedName>
    <definedName name="_Hlk65652728" localSheetId="9">'Cashout with Card (ISW) '!#REF!</definedName>
    <definedName name="_Hlk65652728" localSheetId="10">'Card Transfer (ISW)'!#REF!</definedName>
    <definedName name="_xlnm.Print_Area" localSheetId="11">'Agent Wallet Funding from 9PSB'!$A$2:$G$26</definedName>
    <definedName name="_Hlk65652728" localSheetId="12">'Cashout_Accounting Schematics'!#REF!</definedName>
    <definedName name="_xlnm.Print_Area" localSheetId="13">'Wallet Funding from other Banks'!$A$2:$F$2</definedName>
    <definedName name="_Hlk65652728" localSheetId="14">'Transfer to 9PSB Account'!#REF!</definedName>
    <definedName name="_xlnm.Print_Area" localSheetId="14">'Transfer to 9PSB Account'!$B$1:$F$47</definedName>
    <definedName name="_Hlk65652728" localSheetId="15">'Transfer to Other Banks'!#REF!</definedName>
    <definedName name="_xlnm.Print_Area" localSheetId="15">'Transfer to Other Banks'!$B$1:$F$49</definedName>
    <definedName name="_Hlk65652728" localSheetId="18">'Bills Payment '!#REF!</definedName>
    <definedName name="_xlnm.Print_Area" localSheetId="18">'Bills Payment '!$B$2:$F$17</definedName>
    <definedName name="_Hlk65652728" localSheetId="20">'Agent Commission Cashout'!#REF!</definedName>
    <definedName name="_Hlk65652728" localSheetId="21">'SLP Commission Cashout '!#REF!</definedName>
    <definedName name="_Hlk65652728" localSheetId="22">'Cashout_Accounting Schemati (2)'!$C$77</definedName>
  </definedNames>
  <calcPr calcId="191029" fullCalcOnLoad="1"/>
</workbook>
</file>

<file path=xl/styles.xml><?xml version="1.0" encoding="utf-8"?>
<styleSheet xmlns="http://schemas.openxmlformats.org/spreadsheetml/2006/main">
  <numFmts count="26">
    <numFmt numFmtId="164" formatCode="0.000000%"/>
    <numFmt numFmtId="165" formatCode="_-* #,##0.0000_-;\-* #,##0.0000_-;_-* &quot;-&quot;??_-;_-@_-"/>
    <numFmt numFmtId="166" formatCode="_-* #,##0.000000_-;\-* #,##0.000000_-;_-* &quot;-&quot;??_-;_-@_-"/>
    <numFmt numFmtId="167" formatCode="_-* #,##0.000000000_-;\-* #,##0.000000000_-;_-* &quot;-&quot;??_-;_-@_-"/>
    <numFmt numFmtId="168" formatCode="_(* #,##0.0000000000_);_(* \(#,##0.0000000000\);_(* &quot;-&quot;??_);_(@_)"/>
    <numFmt numFmtId="169" formatCode="[$₦-46A]#,##0.00"/>
    <numFmt numFmtId="170" formatCode="_(* #,##0.000000_);_(* \(#,##0.000000\);_(* &quot;-&quot;??_);_(@_)"/>
    <numFmt numFmtId="171" formatCode="[$₦-46A]#,##0.00;[Red][$₦-46A]#,##0.00"/>
    <numFmt numFmtId="172" formatCode="&quot;₦&quot;#,##0.00"/>
    <numFmt numFmtId="173" formatCode="_-* #,##0_-;\-* #,##0_-;_-* &quot;-&quot;??_-;_-@_-"/>
    <numFmt numFmtId="174" formatCode="&quot;₦&quot;#,##0.00;\-&quot;₦&quot;#,##0.00"/>
    <numFmt numFmtId="175" formatCode="_-* #,##0.00_-;\-* #,##0.00_-;_-* &quot;-&quot;??_-;_-@_-"/>
    <numFmt numFmtId="176" formatCode="[$₦-46A]#,##0.00;\-[$₦-46A]#,##0.00"/>
    <numFmt numFmtId="177" formatCode="0_);\(0\)"/>
    <numFmt numFmtId="178" formatCode="[$₦-46A]#,##0"/>
    <numFmt numFmtId="179" formatCode="_-* #,##0.00000000_-;\-* #,##0.00000000_-;_-* &quot;-&quot;??_-;_-@_-"/>
    <numFmt numFmtId="180" formatCode="_-* #,##0.0000000000_-;\-* #,##0.0000000000_-;_-* &quot;-&quot;??_-;_-@_-"/>
    <numFmt numFmtId="181" formatCode="#,##0.00000_);[Red]\(#,##0.00000\)"/>
    <numFmt numFmtId="182" formatCode="0.00000%"/>
    <numFmt numFmtId="183" formatCode="0.00000000"/>
    <numFmt numFmtId="184" formatCode="0.0000000000"/>
    <numFmt numFmtId="185" formatCode="_-* #,##0.00000000000000_-;\-* #,##0.00000000000000_-;_-* &quot;-&quot;??_-;_-@_-"/>
    <numFmt numFmtId="186" formatCode="_-* #,##0.0000000_-;\-* #,##0.0000000_-;_-* &quot;-&quot;??_-;_-@_-"/>
    <numFmt numFmtId="187" formatCode="_-* #,##0.00000_-;\-* #,##0.00000_-;_-* &quot;-&quot;??_-;_-@_-"/>
    <numFmt numFmtId="188" formatCode="0.000"/>
    <numFmt numFmtId="189" formatCode="0.0000"/>
  </numFmts>
  <fonts count="50">
    <font>
      <name val="Calibri"/>
      <family val="2"/>
      <color theme="1"/>
      <sz val="11"/>
      <scheme val="minor"/>
    </font>
    <font>
      <name val="Maven Pro"/>
      <sz val="11"/>
    </font>
    <font>
      <name val="Maven Pro"/>
      <sz val="12"/>
    </font>
    <font>
      <name val="Maven Pro"/>
      <i val="1"/>
      <sz val="10"/>
    </font>
    <font>
      <name val="Verdana"/>
      <family val="2"/>
      <i val="1"/>
      <sz val="10"/>
    </font>
    <font>
      <name val="Verdana"/>
      <family val="2"/>
      <b val="1"/>
      <sz val="10"/>
    </font>
    <font>
      <name val="Verdana"/>
      <family val="2"/>
      <sz val="10"/>
    </font>
    <font>
      <name val="Calibri"/>
      <family val="2"/>
      <color theme="1"/>
      <sz val="11"/>
      <scheme val="minor"/>
    </font>
    <font>
      <name val="Calibri"/>
      <family val="2"/>
      <b val="1"/>
      <color theme="1"/>
      <sz val="11"/>
      <scheme val="minor"/>
    </font>
    <font>
      <name val="Verdana"/>
      <family val="2"/>
      <color theme="1"/>
      <sz val="10"/>
    </font>
    <font>
      <name val="Verdana"/>
      <family val="2"/>
      <b val="1"/>
      <color theme="1"/>
      <sz val="10"/>
    </font>
    <font>
      <name val="Maven Pro"/>
      <b val="1"/>
      <color theme="1"/>
      <sz val="11"/>
    </font>
    <font>
      <name val="Maven Pro"/>
      <color theme="1"/>
      <sz val="11"/>
    </font>
    <font>
      <name val="Candara"/>
      <family val="2"/>
      <b val="1"/>
      <color theme="1"/>
      <sz val="10"/>
    </font>
    <font>
      <name val="Maven Pro"/>
      <color rgb="FFFF0000"/>
      <sz val="11"/>
    </font>
    <font>
      <name val="Maven Pro"/>
      <color theme="1"/>
      <sz val="12"/>
    </font>
    <font>
      <name val="Maven Pro"/>
      <b val="1"/>
      <i val="1"/>
      <color theme="1"/>
      <sz val="11"/>
    </font>
    <font>
      <name val="Verdana"/>
      <family val="2"/>
      <b val="1"/>
      <i val="1"/>
      <color theme="1"/>
      <sz val="10"/>
    </font>
    <font>
      <name val="Verdana"/>
      <family val="2"/>
      <color rgb="FFFF0000"/>
      <sz val="10"/>
    </font>
    <font>
      <name val="Verdana"/>
      <family val="2"/>
      <i val="1"/>
      <color theme="1"/>
      <sz val="10"/>
    </font>
    <font>
      <name val="Calibri"/>
      <family val="2"/>
      <i val="1"/>
      <color theme="1"/>
      <sz val="11"/>
      <scheme val="minor"/>
    </font>
    <font>
      <name val="Verdana"/>
      <family val="2"/>
      <b val="1"/>
      <i val="1"/>
      <color rgb="FFFF0000"/>
      <sz val="8"/>
    </font>
    <font>
      <name val="Verdana"/>
      <family val="2"/>
      <b val="1"/>
      <i val="1"/>
      <color rgb="FFFF0000"/>
      <sz val="10"/>
    </font>
    <font>
      <name val="Verdana"/>
      <family val="2"/>
      <b val="1"/>
      <color theme="1"/>
      <sz val="11"/>
    </font>
    <font>
      <name val="Verdana"/>
      <family val="2"/>
      <b val="1"/>
      <color rgb="FFFF0000"/>
      <sz val="9"/>
    </font>
    <font>
      <name val="Verdana"/>
      <family val="2"/>
      <b val="1"/>
      <i val="1"/>
      <color rgb="FF0070C0"/>
      <sz val="10"/>
    </font>
    <font>
      <name val="Calibri"/>
      <family val="2"/>
      <b val="1"/>
      <i val="1"/>
      <color theme="1"/>
      <sz val="12"/>
      <scheme val="minor"/>
    </font>
    <font>
      <name val="Verdana"/>
      <family val="2"/>
      <i val="1"/>
      <color rgb="FFFF0000"/>
      <sz val="8"/>
    </font>
    <font>
      <name val="Verdana"/>
      <family val="2"/>
      <b val="1"/>
      <color rgb="FFFF0000"/>
      <sz val="10"/>
    </font>
    <font>
      <name val="Verdana"/>
      <family val="2"/>
      <color rgb="FF000000"/>
      <sz val="10"/>
    </font>
    <font>
      <name val="Verdana"/>
      <family val="2"/>
      <i val="1"/>
      <color rgb="FFFF0000"/>
      <sz val="10"/>
    </font>
    <font>
      <name val="Calibri"/>
      <family val="2"/>
      <i val="1"/>
      <color rgb="FFFF0000"/>
      <sz val="11"/>
      <scheme val="minor"/>
    </font>
    <font>
      <name val="Calibri"/>
      <family val="2"/>
      <b val="1"/>
      <i val="1"/>
      <color theme="1"/>
      <sz val="11"/>
      <scheme val="minor"/>
    </font>
    <font>
      <name val="Calibri"/>
      <family val="2"/>
      <b val="1"/>
      <color rgb="FFFF0000"/>
      <sz val="14"/>
      <scheme val="minor"/>
    </font>
    <font>
      <name val="Verdana"/>
      <family val="2"/>
      <i val="1"/>
      <color rgb="FF000000"/>
      <sz val="10"/>
    </font>
    <font>
      <name val="Calibri"/>
      <family val="2"/>
      <b val="1"/>
      <color theme="1"/>
      <sz val="12"/>
      <scheme val="minor"/>
    </font>
    <font>
      <name val="Calibri"/>
      <family val="2"/>
      <color theme="1"/>
      <sz val="12"/>
      <scheme val="minor"/>
    </font>
    <font>
      <name val="Calibri"/>
      <family val="2"/>
      <b val="1"/>
      <color theme="1"/>
      <sz val="16"/>
      <scheme val="minor"/>
    </font>
    <font>
      <name val="Calibri"/>
      <family val="2"/>
      <i val="1"/>
      <color rgb="FFFF0000"/>
      <sz val="12"/>
      <scheme val="minor"/>
    </font>
    <font>
      <name val="Calibri"/>
      <family val="2"/>
      <i val="1"/>
      <color theme="1"/>
      <sz val="12"/>
      <scheme val="minor"/>
    </font>
    <font>
      <name val="Verdana"/>
      <family val="2"/>
      <b val="1"/>
      <color rgb="FF0070C0"/>
      <sz val="10"/>
    </font>
    <font>
      <name val="Arial"/>
      <family val="2"/>
      <b val="1"/>
      <color theme="1"/>
      <sz val="10"/>
    </font>
    <font>
      <name val="Arial"/>
      <family val="2"/>
      <b val="1"/>
      <color rgb="FFFF0000"/>
      <sz val="10"/>
    </font>
    <font>
      <name val="Arial"/>
      <family val="2"/>
      <color rgb="FFFF0000"/>
      <sz val="10"/>
    </font>
    <font>
      <name val="Arial"/>
      <family val="2"/>
      <color theme="1"/>
      <sz val="12"/>
    </font>
    <font>
      <name val="Arial"/>
      <family val="2"/>
      <color theme="1"/>
      <sz val="10"/>
    </font>
    <font>
      <name val="Calibri"/>
      <family val="2"/>
      <color rgb="FF242424"/>
      <sz val="11"/>
    </font>
    <font>
      <name val="Calibri"/>
      <family val="2"/>
      <sz val="11"/>
      <scheme val="minor"/>
    </font>
    <font>
      <name val="Verdana"/>
      <family val="2"/>
      <b val="1"/>
      <color theme="8" tint="-0.249977111117893"/>
      <sz val="10"/>
    </font>
    <font>
      <name val="Aptos Narrow"/>
      <family val="2"/>
      <color rgb="FF000000"/>
      <sz val="11"/>
    </font>
  </fonts>
  <fills count="9">
    <fill>
      <patternFill/>
    </fill>
    <fill>
      <patternFill patternType="gray125"/>
    </fill>
    <fill>
      <patternFill patternType="solid">
        <fgColor rgb="FFFFFF00"/>
        <bgColor indexed="64"/>
      </patternFill>
    </fill>
    <fill>
      <patternFill patternType="solid">
        <fgColor theme="9" tint="0.3999755851924192"/>
        <bgColor indexed="64"/>
      </patternFill>
    </fill>
    <fill>
      <patternFill patternType="solid">
        <fgColor rgb="FF92D050"/>
        <bgColor indexed="64"/>
      </patternFill>
    </fill>
    <fill>
      <patternFill patternType="solid">
        <fgColor theme="1"/>
        <bgColor indexed="64"/>
      </patternFill>
    </fill>
    <fill>
      <patternFill patternType="solid">
        <fgColor theme="0"/>
        <bgColor indexed="64"/>
      </patternFill>
    </fill>
    <fill>
      <patternFill patternType="solid">
        <fgColor rgb="FFFFFFFF"/>
        <bgColor rgb="FF000000"/>
      </patternFill>
    </fill>
    <fill>
      <patternFill patternType="solid">
        <fgColor rgb="FFFFFF00"/>
        <bgColor rgb="FFFFFF00"/>
      </patternFill>
    </fill>
  </fills>
  <borders count="103">
    <border>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bottom style="thin">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theme="1"/>
      </bottom>
      <diagonal/>
    </border>
    <border>
      <left style="thin">
        <color indexed="64"/>
      </left>
      <right style="medium">
        <color indexed="64"/>
      </right>
      <top style="thin">
        <color indexed="64"/>
      </top>
      <bottom style="thin">
        <color theme="1"/>
      </bottom>
      <diagonal/>
    </border>
    <border>
      <left style="thin">
        <color indexed="64"/>
      </left>
      <right style="thin">
        <color indexed="64"/>
      </right>
      <top style="thin">
        <color indexed="64"/>
      </top>
      <bottom style="thin">
        <color theme="1"/>
      </bottom>
      <diagonal/>
    </border>
    <border>
      <left style="thin">
        <color theme="1"/>
      </left>
      <right style="thin">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top style="thin">
        <color theme="1"/>
      </top>
      <bottom style="thin">
        <color theme="1"/>
      </bottom>
      <diagonal/>
    </border>
    <border>
      <left style="medium">
        <color theme="1"/>
      </left>
      <right/>
      <top style="thin">
        <color theme="1"/>
      </top>
      <bottom style="medium">
        <color theme="1"/>
      </bottom>
      <diagonal/>
    </border>
    <border>
      <left/>
      <right/>
      <top style="medium">
        <color theme="1"/>
      </top>
      <bottom/>
      <diagonal/>
    </border>
    <border>
      <left/>
      <right style="medium">
        <color theme="1"/>
      </right>
      <top style="medium">
        <color theme="1"/>
      </top>
      <bottom/>
      <diagonal/>
    </border>
    <border>
      <left style="medium">
        <color theme="1"/>
      </left>
      <right/>
      <top/>
      <bottom style="thin">
        <color theme="1"/>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theme="1"/>
      </right>
      <top/>
      <bottom style="thin">
        <color theme="1"/>
      </bottom>
      <diagonal/>
    </border>
    <border>
      <left style="medium">
        <color theme="1"/>
      </left>
      <right/>
      <top style="medium">
        <color theme="1"/>
      </top>
      <bottom style="medium">
        <color theme="1"/>
      </bottom>
      <diagonal/>
    </border>
    <border>
      <left/>
      <right/>
      <top style="thin">
        <color indexed="64"/>
      </top>
      <bottom style="thin">
        <color theme="1"/>
      </bottom>
      <diagonal/>
    </border>
    <border>
      <left style="thin">
        <color theme="1"/>
      </left>
      <right style="thin">
        <color indexed="64"/>
      </right>
      <top style="medium">
        <color indexed="64"/>
      </top>
      <bottom style="thin">
        <color indexed="64"/>
      </bottom>
      <diagonal/>
    </border>
    <border>
      <left style="thin">
        <color theme="1"/>
      </left>
      <right style="thin">
        <color indexed="64"/>
      </right>
      <top style="thin">
        <color indexed="64"/>
      </top>
      <bottom style="thin">
        <color indexed="64"/>
      </bottom>
      <diagonal/>
    </border>
    <border>
      <left style="thin">
        <color theme="1"/>
      </left>
      <right style="thin">
        <color indexed="64"/>
      </right>
      <top style="thin">
        <color indexed="64"/>
      </top>
      <bottom style="thin">
        <color theme="1"/>
      </bottom>
      <diagonal/>
    </border>
    <border>
      <left style="thin">
        <color theme="1"/>
      </left>
      <right style="thin">
        <color indexed="64"/>
      </right>
      <top/>
      <bottom style="medium">
        <color indexed="64"/>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indexed="64"/>
      </left>
      <right style="thin">
        <color theme="1"/>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thin">
        <color theme="1"/>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right style="thin">
        <color indexed="64"/>
      </right>
      <top style="medium">
        <color indexed="64"/>
      </top>
      <bottom/>
      <diagonal/>
    </border>
    <border>
      <left/>
      <right/>
      <top style="thin">
        <color indexed="64"/>
      </top>
      <bottom/>
      <diagonal/>
    </border>
    <border>
      <left style="thin">
        <color indexed="64"/>
      </left>
      <right/>
      <top/>
      <bottom/>
      <diagonal/>
    </border>
  </borders>
  <cellStyleXfs count="5">
    <xf numFmtId="0" fontId="7" fillId="0" borderId="0"/>
    <xf numFmtId="43" fontId="7" fillId="0" borderId="0"/>
    <xf numFmtId="9" fontId="7" fillId="0" borderId="0"/>
    <xf numFmtId="9" fontId="7" fillId="0" borderId="0"/>
    <xf numFmtId="43" fontId="7" fillId="0" borderId="0"/>
  </cellStyleXfs>
  <cellXfs count="797">
    <xf numFmtId="0" fontId="0" fillId="0" borderId="0" pivotButton="0" quotePrefix="0" xfId="0"/>
    <xf numFmtId="0" fontId="9" fillId="0" borderId="0" pivotButton="0" quotePrefix="0" xfId="0"/>
    <xf numFmtId="0" fontId="10" fillId="0" borderId="0" pivotButton="0" quotePrefix="0" xfId="0"/>
    <xf numFmtId="0" fontId="9" fillId="0" borderId="1" applyAlignment="1" pivotButton="0" quotePrefix="0" xfId="0">
      <alignment horizontal="justify" vertical="center" wrapText="1"/>
    </xf>
    <xf numFmtId="0" fontId="9" fillId="0" borderId="2" applyAlignment="1" pivotButton="0" quotePrefix="0" xfId="0">
      <alignment horizontal="justify" vertical="center" wrapText="1"/>
    </xf>
    <xf numFmtId="0" fontId="9" fillId="0" borderId="3" applyAlignment="1" pivotButton="0" quotePrefix="0" xfId="0">
      <alignment horizontal="justify" vertical="center" wrapText="1"/>
    </xf>
    <xf numFmtId="0" fontId="10" fillId="0" borderId="4" applyAlignment="1" pivotButton="0" quotePrefix="0" xfId="0">
      <alignment horizontal="justify" vertical="center" wrapText="1"/>
    </xf>
    <xf numFmtId="0" fontId="10" fillId="0" borderId="6" applyAlignment="1" pivotButton="0" quotePrefix="0" xfId="0">
      <alignment horizontal="center" vertical="center" wrapText="1"/>
    </xf>
    <xf numFmtId="0" fontId="11" fillId="0" borderId="13" applyAlignment="1" pivotButton="0" quotePrefix="0" xfId="0">
      <alignment horizontal="justify" vertical="center" wrapText="1"/>
    </xf>
    <xf numFmtId="0" fontId="11" fillId="0" borderId="14" applyAlignment="1" pivotButton="0" quotePrefix="0" xfId="0">
      <alignment horizontal="justify" vertical="center" wrapText="1"/>
    </xf>
    <xf numFmtId="0" fontId="8" fillId="0" borderId="0" pivotButton="0" quotePrefix="0" xfId="0"/>
    <xf numFmtId="0" fontId="12" fillId="0" borderId="13" applyAlignment="1" pivotButton="0" quotePrefix="0" xfId="0">
      <alignment horizontal="justify" vertical="center" wrapText="1"/>
    </xf>
    <xf numFmtId="0" fontId="12" fillId="0" borderId="14" applyAlignment="1" pivotButton="0" quotePrefix="0" xfId="0">
      <alignment horizontal="justify" vertical="center" wrapText="1"/>
    </xf>
    <xf numFmtId="0" fontId="11" fillId="0" borderId="0" applyAlignment="1" pivotButton="0" quotePrefix="0" xfId="0">
      <alignment horizontal="justify" vertical="center" wrapText="1"/>
    </xf>
    <xf numFmtId="0" fontId="13" fillId="0" borderId="9" pivotButton="0" quotePrefix="0" xfId="0"/>
    <xf numFmtId="0" fontId="8" fillId="2" borderId="9" pivotButton="0" quotePrefix="0" xfId="0"/>
    <xf numFmtId="0" fontId="12" fillId="0" borderId="0" applyAlignment="1" pivotButton="0" quotePrefix="0" xfId="0">
      <alignment horizontal="justify" vertical="center" wrapText="1"/>
    </xf>
    <xf numFmtId="0" fontId="0" fillId="0" borderId="9" pivotButton="0" quotePrefix="0" xfId="0"/>
    <xf numFmtId="0" fontId="0" fillId="2" borderId="9" pivotButton="0" quotePrefix="0" xfId="0"/>
    <xf numFmtId="0" fontId="14" fillId="3" borderId="14" applyAlignment="1" pivotButton="0" quotePrefix="0" xfId="0">
      <alignment horizontal="justify" vertical="center" wrapText="1"/>
    </xf>
    <xf numFmtId="0" fontId="14" fillId="0" borderId="14" applyAlignment="1" pivotButton="0" quotePrefix="0" xfId="0">
      <alignment horizontal="justify" vertical="center" wrapText="1"/>
    </xf>
    <xf numFmtId="0" fontId="12" fillId="3" borderId="14" applyAlignment="1" pivotButton="0" quotePrefix="0" xfId="0">
      <alignment horizontal="justify" vertical="center" wrapText="1"/>
    </xf>
    <xf numFmtId="0" fontId="14" fillId="4" borderId="14" applyAlignment="1" pivotButton="0" quotePrefix="0" xfId="0">
      <alignment horizontal="justify" vertical="center" wrapText="1"/>
    </xf>
    <xf numFmtId="0" fontId="1" fillId="3" borderId="14" applyAlignment="1" pivotButton="0" quotePrefix="0" xfId="0">
      <alignment horizontal="justify" vertical="center" wrapText="1"/>
    </xf>
    <xf numFmtId="0" fontId="13" fillId="0" borderId="0" pivotButton="0" quotePrefix="0" xfId="0"/>
    <xf numFmtId="0" fontId="11" fillId="0" borderId="15" applyAlignment="1" pivotButton="0" quotePrefix="0" xfId="0">
      <alignment horizontal="justify" vertical="center" wrapText="1"/>
    </xf>
    <xf numFmtId="0" fontId="11" fillId="0" borderId="16" applyAlignment="1" pivotButton="0" quotePrefix="0" xfId="0">
      <alignment horizontal="justify" vertical="center" wrapText="1"/>
    </xf>
    <xf numFmtId="0" fontId="11" fillId="0" borderId="17" applyAlignment="1" pivotButton="0" quotePrefix="0" xfId="0">
      <alignment horizontal="justify" vertical="center" wrapText="1"/>
    </xf>
    <xf numFmtId="0" fontId="11" fillId="0" borderId="18" applyAlignment="1" pivotButton="0" quotePrefix="0" xfId="0">
      <alignment horizontal="justify" vertical="center" wrapText="1"/>
    </xf>
    <xf numFmtId="0" fontId="12" fillId="0" borderId="19" applyAlignment="1" pivotButton="0" quotePrefix="0" xfId="0">
      <alignment horizontal="justify" vertical="center" wrapText="1"/>
    </xf>
    <xf numFmtId="0" fontId="12" fillId="0" borderId="20" applyAlignment="1" pivotButton="0" quotePrefix="0" xfId="0">
      <alignment horizontal="justify" vertical="center" wrapText="1"/>
    </xf>
    <xf numFmtId="0" fontId="12" fillId="0" borderId="21" applyAlignment="1" pivotButton="0" quotePrefix="0" xfId="0">
      <alignment horizontal="justify" vertical="center" wrapText="1"/>
    </xf>
    <xf numFmtId="0" fontId="12" fillId="0" borderId="22" applyAlignment="1" pivotButton="0" quotePrefix="0" xfId="0">
      <alignment horizontal="justify" vertical="center" wrapText="1"/>
    </xf>
    <xf numFmtId="0" fontId="12" fillId="0" borderId="23" applyAlignment="1" pivotButton="0" quotePrefix="0" xfId="0">
      <alignment horizontal="justify" vertical="center" wrapText="1"/>
    </xf>
    <xf numFmtId="0" fontId="12" fillId="0" borderId="24" applyAlignment="1" pivotButton="0" quotePrefix="0" xfId="0">
      <alignment horizontal="justify" vertical="center" wrapText="1"/>
    </xf>
    <xf numFmtId="0" fontId="12" fillId="0" borderId="25" applyAlignment="1" pivotButton="0" quotePrefix="0" xfId="0">
      <alignment horizontal="justify" vertical="center" wrapText="1"/>
    </xf>
    <xf numFmtId="0" fontId="12" fillId="0" borderId="26" applyAlignment="1" pivotButton="0" quotePrefix="0" xfId="0">
      <alignment horizontal="justify" vertical="center" wrapText="1"/>
    </xf>
    <xf numFmtId="0" fontId="2" fillId="0" borderId="25" pivotButton="0" quotePrefix="0" xfId="0"/>
    <xf numFmtId="0" fontId="12" fillId="3" borderId="24" applyAlignment="1" pivotButton="0" quotePrefix="0" xfId="0">
      <alignment horizontal="justify" vertical="center" wrapText="1"/>
    </xf>
    <xf numFmtId="0" fontId="12" fillId="0" borderId="27" applyAlignment="1" pivotButton="0" quotePrefix="0" xfId="0">
      <alignment horizontal="justify" vertical="center" wrapText="1"/>
    </xf>
    <xf numFmtId="0" fontId="12" fillId="0" borderId="28" applyAlignment="1" pivotButton="0" quotePrefix="0" xfId="0">
      <alignment horizontal="justify" vertical="center" wrapText="1"/>
    </xf>
    <xf numFmtId="0" fontId="12" fillId="0" borderId="29" applyAlignment="1" pivotButton="0" quotePrefix="0" xfId="0">
      <alignment horizontal="justify" vertical="center" wrapText="1"/>
    </xf>
    <xf numFmtId="0" fontId="11" fillId="0" borderId="30" applyAlignment="1" pivotButton="0" quotePrefix="0" xfId="0">
      <alignment horizontal="justify" vertical="center" wrapText="1"/>
    </xf>
    <xf numFmtId="0" fontId="11" fillId="0" borderId="31" applyAlignment="1" pivotButton="0" quotePrefix="0" xfId="0">
      <alignment horizontal="justify" vertical="center" wrapText="1"/>
    </xf>
    <xf numFmtId="0" fontId="11" fillId="0" borderId="32" applyAlignment="1" pivotButton="0" quotePrefix="0" xfId="0">
      <alignment horizontal="justify" vertical="center" wrapText="1"/>
    </xf>
    <xf numFmtId="0" fontId="11" fillId="0" borderId="33" applyAlignment="1" pivotButton="0" quotePrefix="0" xfId="0">
      <alignment horizontal="justify" vertical="center" wrapText="1"/>
    </xf>
    <xf numFmtId="0" fontId="11" fillId="0" borderId="34" applyAlignment="1" pivotButton="0" quotePrefix="0" xfId="0">
      <alignment horizontal="justify" vertical="center" wrapText="1"/>
    </xf>
    <xf numFmtId="0" fontId="11" fillId="0" borderId="22" applyAlignment="1" pivotButton="0" quotePrefix="0" xfId="0">
      <alignment horizontal="justify" vertical="center" wrapText="1"/>
    </xf>
    <xf numFmtId="0" fontId="12" fillId="0" borderId="1" applyAlignment="1" pivotButton="0" quotePrefix="0" xfId="0">
      <alignment horizontal="justify" vertical="center" wrapText="1"/>
    </xf>
    <xf numFmtId="0" fontId="12" fillId="0" borderId="9" applyAlignment="1" pivotButton="0" quotePrefix="0" xfId="0">
      <alignment horizontal="justify" vertical="center" wrapText="1"/>
    </xf>
    <xf numFmtId="0" fontId="12" fillId="0" borderId="35" applyAlignment="1" pivotButton="0" quotePrefix="0" xfId="0">
      <alignment horizontal="justify" vertical="center" wrapText="1"/>
    </xf>
    <xf numFmtId="0" fontId="1" fillId="3" borderId="9" applyAlignment="1" pivotButton="0" quotePrefix="0" xfId="0">
      <alignment horizontal="justify" vertical="center" wrapText="1"/>
    </xf>
    <xf numFmtId="0" fontId="12" fillId="3" borderId="35" applyAlignment="1" pivotButton="0" quotePrefix="0" xfId="0">
      <alignment horizontal="justify" vertical="center" wrapText="1"/>
    </xf>
    <xf numFmtId="0" fontId="12" fillId="0" borderId="2" applyAlignment="1" pivotButton="0" quotePrefix="0" xfId="0">
      <alignment horizontal="justify" vertical="center" wrapText="1"/>
    </xf>
    <xf numFmtId="0" fontId="12" fillId="0" borderId="11" applyAlignment="1" pivotButton="0" quotePrefix="0" xfId="0">
      <alignment horizontal="justify" vertical="center" wrapText="1"/>
    </xf>
    <xf numFmtId="0" fontId="12" fillId="3" borderId="36" applyAlignment="1" pivotButton="0" quotePrefix="0" xfId="0">
      <alignment horizontal="justify" vertical="center" wrapText="1"/>
    </xf>
    <xf numFmtId="0" fontId="12" fillId="0" borderId="32" applyAlignment="1" pivotButton="0" quotePrefix="0" xfId="0">
      <alignment horizontal="justify" vertical="center" wrapText="1"/>
    </xf>
    <xf numFmtId="0" fontId="12" fillId="0" borderId="33" applyAlignment="1" pivotButton="0" quotePrefix="0" xfId="0">
      <alignment horizontal="justify" vertical="center" wrapText="1"/>
    </xf>
    <xf numFmtId="0" fontId="12" fillId="0" borderId="37" applyAlignment="1" pivotButton="0" quotePrefix="0" xfId="0">
      <alignment horizontal="justify" vertical="center" wrapText="1"/>
    </xf>
    <xf numFmtId="0" fontId="12" fillId="0" borderId="10" applyAlignment="1" pivotButton="0" quotePrefix="0" xfId="0">
      <alignment horizontal="justify" vertical="center" wrapText="1"/>
    </xf>
    <xf numFmtId="0" fontId="2" fillId="3" borderId="9" pivotButton="0" quotePrefix="0" xfId="0"/>
    <xf numFmtId="0" fontId="12" fillId="3" borderId="11" applyAlignment="1" pivotButton="0" quotePrefix="0" xfId="0">
      <alignment horizontal="justify" vertical="center" wrapText="1"/>
    </xf>
    <xf numFmtId="0" fontId="12" fillId="0" borderId="12" applyAlignment="1" pivotButton="0" quotePrefix="0" xfId="0">
      <alignment horizontal="justify" vertical="center" wrapText="1"/>
    </xf>
    <xf numFmtId="0" fontId="12" fillId="0" borderId="36" applyAlignment="1" pivotButton="0" quotePrefix="0" xfId="0">
      <alignment horizontal="justify" vertical="center" wrapText="1"/>
    </xf>
    <xf numFmtId="0" fontId="15" fillId="0" borderId="25" pivotButton="0" quotePrefix="0" xfId="0"/>
    <xf numFmtId="0" fontId="15" fillId="0" borderId="9" pivotButton="0" quotePrefix="0" xfId="0"/>
    <xf numFmtId="0" fontId="14" fillId="2" borderId="14" applyAlignment="1" pivotButton="0" quotePrefix="0" xfId="0">
      <alignment horizontal="justify" vertical="center" wrapText="1"/>
    </xf>
    <xf numFmtId="0" fontId="16" fillId="0" borderId="31" applyAlignment="1" pivotButton="0" quotePrefix="0" xfId="0">
      <alignment horizontal="left" vertical="center"/>
    </xf>
    <xf numFmtId="0" fontId="12" fillId="0" borderId="39" applyAlignment="1" pivotButton="0" quotePrefix="0" xfId="0">
      <alignment horizontal="justify" vertical="center" wrapText="1"/>
    </xf>
    <xf numFmtId="0" fontId="14" fillId="0" borderId="40" applyAlignment="1" pivotButton="0" quotePrefix="0" xfId="0">
      <alignment horizontal="justify" vertical="center" wrapText="1"/>
    </xf>
    <xf numFmtId="0" fontId="12" fillId="0" borderId="40" applyAlignment="1" pivotButton="0" quotePrefix="0" xfId="0">
      <alignment horizontal="justify" vertical="center" wrapText="1"/>
    </xf>
    <xf numFmtId="0" fontId="12" fillId="0" borderId="4" applyAlignment="1" pivotButton="0" quotePrefix="0" xfId="0">
      <alignment horizontal="justify" vertical="center" wrapText="1"/>
    </xf>
    <xf numFmtId="0" fontId="14" fillId="0" borderId="5" applyAlignment="1" pivotButton="0" quotePrefix="0" xfId="0">
      <alignment horizontal="justify" vertical="center" wrapText="1"/>
    </xf>
    <xf numFmtId="0" fontId="12" fillId="0" borderId="5" applyAlignment="1" pivotButton="0" quotePrefix="0" xfId="0">
      <alignment horizontal="justify" vertical="center" wrapText="1"/>
    </xf>
    <xf numFmtId="0" fontId="12" fillId="0" borderId="6" applyAlignment="1" pivotButton="0" quotePrefix="0" xfId="0">
      <alignment horizontal="justify" vertical="center" wrapText="1"/>
    </xf>
    <xf numFmtId="2" fontId="0" fillId="0" borderId="0" pivotButton="0" quotePrefix="0" xfId="0"/>
    <xf numFmtId="10" fontId="0" fillId="0" borderId="0" pivotButton="0" quotePrefix="0" xfId="0"/>
    <xf numFmtId="0" fontId="10" fillId="0" borderId="30" applyAlignment="1" pivotButton="0" quotePrefix="0" xfId="0">
      <alignment horizontal="justify" vertical="center" wrapText="1"/>
    </xf>
    <xf numFmtId="0" fontId="10" fillId="0" borderId="31" applyAlignment="1" pivotButton="0" quotePrefix="0" xfId="0">
      <alignment horizontal="justify" vertical="center" wrapText="1"/>
    </xf>
    <xf numFmtId="0" fontId="9" fillId="0" borderId="14" applyAlignment="1" pivotButton="0" quotePrefix="0" xfId="0">
      <alignment horizontal="justify" vertical="center" wrapText="1"/>
    </xf>
    <xf numFmtId="0" fontId="9" fillId="0" borderId="0" applyAlignment="1" pivotButton="0" quotePrefix="0" xfId="0">
      <alignment horizontal="justify" vertical="center" wrapText="1"/>
    </xf>
    <xf numFmtId="0" fontId="9" fillId="0" borderId="9" pivotButton="0" quotePrefix="0" xfId="0"/>
    <xf numFmtId="0" fontId="9" fillId="0" borderId="9" applyAlignment="1" pivotButton="0" quotePrefix="0" xfId="0">
      <alignment horizontal="left"/>
    </xf>
    <xf numFmtId="0" fontId="9" fillId="0" borderId="33" pivotButton="0" quotePrefix="0" xfId="0"/>
    <xf numFmtId="0" fontId="9" fillId="0" borderId="37" pivotButton="0" quotePrefix="0" xfId="0"/>
    <xf numFmtId="0" fontId="9" fillId="0" borderId="1" pivotButton="0" quotePrefix="0" xfId="0"/>
    <xf numFmtId="0" fontId="9" fillId="0" borderId="10" pivotButton="0" quotePrefix="0" xfId="0"/>
    <xf numFmtId="0" fontId="9" fillId="0" borderId="2" pivotButton="0" quotePrefix="0" xfId="0"/>
    <xf numFmtId="0" fontId="9" fillId="0" borderId="11" applyAlignment="1" pivotButton="0" quotePrefix="0" xfId="0">
      <alignment horizontal="left"/>
    </xf>
    <xf numFmtId="0" fontId="9" fillId="0" borderId="11" pivotButton="0" quotePrefix="0" xfId="0"/>
    <xf numFmtId="0" fontId="9" fillId="0" borderId="12" pivotButton="0" quotePrefix="0" xfId="0"/>
    <xf numFmtId="0" fontId="9" fillId="0" borderId="3" pivotButton="0" quotePrefix="0" xfId="0"/>
    <xf numFmtId="0" fontId="9" fillId="0" borderId="7" pivotButton="0" quotePrefix="0" xfId="0"/>
    <xf numFmtId="0" fontId="9" fillId="0" borderId="8" pivotButton="0" quotePrefix="0" xfId="0"/>
    <xf numFmtId="0" fontId="10" fillId="0" borderId="4" pivotButton="0" quotePrefix="0" xfId="0"/>
    <xf numFmtId="0" fontId="10" fillId="0" borderId="5" pivotButton="0" quotePrefix="0" xfId="0"/>
    <xf numFmtId="0" fontId="10" fillId="0" borderId="6" pivotButton="0" quotePrefix="0" xfId="0"/>
    <xf numFmtId="0" fontId="10" fillId="0" borderId="36" applyAlignment="1" pivotButton="0" quotePrefix="0" xfId="0">
      <alignment horizontal="left"/>
    </xf>
    <xf numFmtId="0" fontId="9" fillId="0" borderId="32" pivotButton="0" quotePrefix="0" xfId="0"/>
    <xf numFmtId="0" fontId="9" fillId="0" borderId="41" pivotButton="0" quotePrefix="0" xfId="0"/>
    <xf numFmtId="0" fontId="9" fillId="0" borderId="42" pivotButton="0" quotePrefix="0" xfId="0"/>
    <xf numFmtId="0" fontId="9" fillId="0" borderId="43" pivotButton="0" quotePrefix="0" xfId="0"/>
    <xf numFmtId="0" fontId="9" fillId="0" borderId="44" pivotButton="0" quotePrefix="0" xfId="0"/>
    <xf numFmtId="0" fontId="9" fillId="0" borderId="45" pivotButton="0" quotePrefix="0" xfId="0"/>
    <xf numFmtId="0" fontId="17" fillId="0" borderId="0" pivotButton="0" quotePrefix="0" xfId="0"/>
    <xf numFmtId="0" fontId="10" fillId="0" borderId="46" pivotButton="0" quotePrefix="0" xfId="0"/>
    <xf numFmtId="0" fontId="10" fillId="0" borderId="47" pivotButton="0" quotePrefix="0" xfId="0"/>
    <xf numFmtId="0" fontId="10" fillId="0" borderId="48" pivotButton="0" quotePrefix="0" xfId="0"/>
    <xf numFmtId="0" fontId="9" fillId="0" borderId="33" applyAlignment="1" pivotButton="0" quotePrefix="0" xfId="0">
      <alignment horizontal="left"/>
    </xf>
    <xf numFmtId="0" fontId="9" fillId="0" borderId="11" applyAlignment="1" pivotButton="0" quotePrefix="0" xfId="0">
      <alignment horizontal="justify" vertical="center" wrapText="1"/>
    </xf>
    <xf numFmtId="0" fontId="9" fillId="0" borderId="44" applyAlignment="1" pivotButton="0" quotePrefix="0" xfId="0">
      <alignment horizontal="justify" vertical="center" wrapText="1"/>
    </xf>
    <xf numFmtId="0" fontId="9" fillId="0" borderId="45" applyAlignment="1" pivotButton="0" quotePrefix="0" xfId="0">
      <alignment horizontal="justify" vertical="center" wrapText="1"/>
    </xf>
    <xf numFmtId="0" fontId="9" fillId="0" borderId="42" applyAlignment="1" pivotButton="0" quotePrefix="0" xfId="0">
      <alignment horizontal="left"/>
    </xf>
    <xf numFmtId="0" fontId="18" fillId="0" borderId="9" pivotButton="0" quotePrefix="0" xfId="0"/>
    <xf numFmtId="0" fontId="6" fillId="0" borderId="43" applyAlignment="1" pivotButton="0" quotePrefix="0" xfId="0">
      <alignment horizontal="justify" vertical="center" wrapText="1"/>
    </xf>
    <xf numFmtId="0" fontId="6" fillId="0" borderId="44" applyAlignment="1" pivotButton="0" quotePrefix="0" xfId="0">
      <alignment horizontal="justify" vertical="center" wrapText="1"/>
    </xf>
    <xf numFmtId="0" fontId="10" fillId="0" borderId="32" pivotButton="0" quotePrefix="0" xfId="0"/>
    <xf numFmtId="0" fontId="10" fillId="0" borderId="33" pivotButton="0" quotePrefix="0" xfId="0"/>
    <xf numFmtId="0" fontId="10" fillId="0" borderId="37" pivotButton="0" quotePrefix="0" xfId="0"/>
    <xf numFmtId="0" fontId="6" fillId="0" borderId="11" pivotButton="0" quotePrefix="0" xfId="0"/>
    <xf numFmtId="0" fontId="6" fillId="0" borderId="33" pivotButton="0" quotePrefix="0" xfId="0"/>
    <xf numFmtId="0" fontId="6" fillId="0" borderId="14" applyAlignment="1" pivotButton="0" quotePrefix="0" xfId="0">
      <alignment horizontal="justify" vertical="center" wrapText="1"/>
    </xf>
    <xf numFmtId="0" fontId="6" fillId="0" borderId="9" applyAlignment="1" pivotButton="0" quotePrefix="0" xfId="0">
      <alignment horizontal="justify" vertical="center" wrapText="1"/>
    </xf>
    <xf numFmtId="0" fontId="6" fillId="0" borderId="9" pivotButton="0" quotePrefix="0" xfId="0"/>
    <xf numFmtId="0" fontId="6" fillId="0" borderId="7" pivotButton="0" quotePrefix="0" xfId="0"/>
    <xf numFmtId="0" fontId="6" fillId="0" borderId="33" applyAlignment="1" pivotButton="0" quotePrefix="0" xfId="0">
      <alignment horizontal="right"/>
    </xf>
    <xf numFmtId="0" fontId="20" fillId="0" borderId="0" pivotButton="0" quotePrefix="0" xfId="0"/>
    <xf numFmtId="0" fontId="20" fillId="0" borderId="32" pivotButton="0" quotePrefix="0" xfId="0"/>
    <xf numFmtId="0" fontId="20" fillId="0" borderId="37" applyAlignment="1" pivotButton="0" quotePrefix="0" xfId="0">
      <alignment horizontal="right"/>
    </xf>
    <xf numFmtId="10" fontId="20" fillId="0" borderId="37" applyAlignment="1" pivotButton="0" quotePrefix="0" xfId="0">
      <alignment horizontal="right"/>
    </xf>
    <xf numFmtId="0" fontId="20" fillId="0" borderId="1" applyAlignment="1" pivotButton="0" quotePrefix="0" xfId="0">
      <alignment wrapText="1"/>
    </xf>
    <xf numFmtId="0" fontId="20" fillId="0" borderId="1" pivotButton="0" quotePrefix="0" xfId="0"/>
    <xf numFmtId="0" fontId="20" fillId="0" borderId="10" applyAlignment="1" pivotButton="0" quotePrefix="0" xfId="0">
      <alignment horizontal="right"/>
    </xf>
    <xf numFmtId="9" fontId="20" fillId="0" borderId="9" applyAlignment="1" pivotButton="0" quotePrefix="0" xfId="0">
      <alignment horizontal="right"/>
    </xf>
    <xf numFmtId="9" fontId="20" fillId="0" borderId="10" applyAlignment="1" pivotButton="0" quotePrefix="0" xfId="0">
      <alignment horizontal="right"/>
    </xf>
    <xf numFmtId="164" fontId="9" fillId="0" borderId="0" pivotButton="0" quotePrefix="0" xfId="2"/>
    <xf numFmtId="0" fontId="4" fillId="0" borderId="0" applyAlignment="1" pivotButton="0" quotePrefix="0" xfId="0">
      <alignment horizontal="left" vertical="center" wrapText="1"/>
    </xf>
    <xf numFmtId="0" fontId="10" fillId="0" borderId="31" pivotButton="0" quotePrefix="0" xfId="0"/>
    <xf numFmtId="0" fontId="9" fillId="0" borderId="29" pivotButton="0" quotePrefix="0" xfId="0"/>
    <xf numFmtId="0" fontId="6" fillId="0" borderId="13" applyAlignment="1" pivotButton="0" quotePrefix="0" xfId="0">
      <alignment horizontal="justify" vertical="center" wrapText="1"/>
    </xf>
    <xf numFmtId="0" fontId="10" fillId="0" borderId="52" applyAlignment="1" pivotButton="0" quotePrefix="0" xfId="0">
      <alignment horizontal="justify" vertical="center" wrapText="1"/>
    </xf>
    <xf numFmtId="0" fontId="9" fillId="0" borderId="53" applyAlignment="1" pivotButton="0" quotePrefix="0" xfId="0">
      <alignment horizontal="justify" vertical="center" wrapText="1"/>
    </xf>
    <xf numFmtId="0" fontId="9" fillId="0" borderId="0" applyAlignment="1" pivotButton="0" quotePrefix="0" xfId="0">
      <alignment horizontal="center"/>
    </xf>
    <xf numFmtId="0" fontId="10" fillId="0" borderId="0" applyAlignment="1" pivotButton="0" quotePrefix="0" xfId="0">
      <alignment horizontal="center"/>
    </xf>
    <xf numFmtId="0" fontId="21" fillId="0" borderId="0" applyAlignment="1" pivotButton="0" quotePrefix="0" xfId="0">
      <alignment horizontal="left"/>
    </xf>
    <xf numFmtId="0" fontId="22" fillId="0" borderId="0" applyAlignment="1" pivotButton="0" quotePrefix="0" xfId="0">
      <alignment horizontal="left"/>
    </xf>
    <xf numFmtId="0" fontId="18" fillId="0" borderId="0" pivotButton="0" quotePrefix="0" xfId="0"/>
    <xf numFmtId="0" fontId="10" fillId="0" borderId="4" applyAlignment="1" pivotButton="0" quotePrefix="0" xfId="0">
      <alignment horizontal="center" wrapText="1"/>
    </xf>
    <xf numFmtId="0" fontId="10" fillId="0" borderId="6" applyAlignment="1" pivotButton="0" quotePrefix="0" xfId="0">
      <alignment horizontal="center" wrapText="1"/>
    </xf>
    <xf numFmtId="0" fontId="10" fillId="0" borderId="4" applyAlignment="1" pivotButton="0" quotePrefix="0" xfId="0">
      <alignment horizontal="center"/>
    </xf>
    <xf numFmtId="0" fontId="10" fillId="0" borderId="5" applyAlignment="1" pivotButton="0" quotePrefix="0" xfId="0">
      <alignment horizontal="center" wrapText="1"/>
    </xf>
    <xf numFmtId="0" fontId="9" fillId="0" borderId="0" applyAlignment="1" pivotButton="0" quotePrefix="0" xfId="1">
      <alignment horizontal="justify" vertical="center" wrapText="1"/>
    </xf>
    <xf numFmtId="0" fontId="6" fillId="0" borderId="9" applyAlignment="1" pivotButton="0" quotePrefix="0" xfId="0">
      <alignment horizontal="right"/>
    </xf>
    <xf numFmtId="0" fontId="9" fillId="0" borderId="43" applyAlignment="1" pivotButton="0" quotePrefix="0" xfId="0">
      <alignment horizontal="justify" vertical="center" wrapText="1"/>
    </xf>
    <xf numFmtId="0" fontId="20" fillId="0" borderId="43" applyAlignment="1" pivotButton="0" quotePrefix="0" xfId="0">
      <alignment wrapText="1"/>
    </xf>
    <xf numFmtId="0" fontId="20" fillId="0" borderId="45" applyAlignment="1" pivotButton="0" quotePrefix="0" xfId="0">
      <alignment horizontal="right"/>
    </xf>
    <xf numFmtId="0" fontId="9" fillId="0" borderId="7" applyAlignment="1" pivotButton="0" quotePrefix="0" xfId="0">
      <alignment horizontal="left"/>
    </xf>
    <xf numFmtId="2" fontId="9" fillId="0" borderId="0" applyAlignment="1" pivotButton="0" quotePrefix="0" xfId="1">
      <alignment horizontal="justify" vertical="center" wrapText="1"/>
    </xf>
    <xf numFmtId="165" fontId="9" fillId="0" borderId="0" pivotButton="0" quotePrefix="0" xfId="1"/>
    <xf numFmtId="166" fontId="9" fillId="0" borderId="0" pivotButton="0" quotePrefix="0" xfId="1"/>
    <xf numFmtId="167" fontId="9" fillId="0" borderId="0" pivotButton="0" quotePrefix="0" xfId="1"/>
    <xf numFmtId="168" fontId="9" fillId="0" borderId="0" pivotButton="0" quotePrefix="0" xfId="0"/>
    <xf numFmtId="0" fontId="6" fillId="2" borderId="13" applyAlignment="1" pivotButton="0" quotePrefix="0" xfId="0">
      <alignment horizontal="justify" vertical="center" wrapText="1"/>
    </xf>
    <xf numFmtId="0" fontId="22" fillId="0" borderId="0" pivotButton="0" quotePrefix="0" xfId="0"/>
    <xf numFmtId="9" fontId="9" fillId="0" borderId="0" pivotButton="0" quotePrefix="0" xfId="0"/>
    <xf numFmtId="0" fontId="0" fillId="6" borderId="0" pivotButton="0" quotePrefix="0" xfId="0"/>
    <xf numFmtId="10" fontId="20" fillId="0" borderId="0" pivotButton="0" quotePrefix="0" xfId="2"/>
    <xf numFmtId="10" fontId="8" fillId="0" borderId="0" pivotButton="0" quotePrefix="0" xfId="0"/>
    <xf numFmtId="10" fontId="20" fillId="0" borderId="0" pivotButton="0" quotePrefix="0" xfId="0"/>
    <xf numFmtId="0" fontId="32" fillId="0" borderId="0" pivotButton="0" quotePrefix="0" xfId="0"/>
    <xf numFmtId="10" fontId="32" fillId="0" borderId="0" pivotButton="0" quotePrefix="0" xfId="0"/>
    <xf numFmtId="0" fontId="31" fillId="0" borderId="0" pivotButton="0" quotePrefix="0" xfId="0"/>
    <xf numFmtId="0" fontId="0" fillId="0" borderId="1" pivotButton="0" quotePrefix="0" xfId="0"/>
    <xf numFmtId="10" fontId="0" fillId="0" borderId="10" pivotButton="0" quotePrefix="0" xfId="0"/>
    <xf numFmtId="0" fontId="0" fillId="0" borderId="2" pivotButton="0" quotePrefix="0" xfId="0"/>
    <xf numFmtId="10" fontId="0" fillId="0" borderId="12" pivotButton="0" quotePrefix="0" xfId="0"/>
    <xf numFmtId="0" fontId="0" fillId="0" borderId="3" pivotButton="0" quotePrefix="0" xfId="0"/>
    <xf numFmtId="10" fontId="0" fillId="0" borderId="8" pivotButton="0" quotePrefix="0" xfId="2"/>
    <xf numFmtId="0" fontId="32" fillId="0" borderId="4" pivotButton="0" quotePrefix="0" xfId="0"/>
    <xf numFmtId="0" fontId="32" fillId="0" borderId="6" pivotButton="0" quotePrefix="0" xfId="0"/>
    <xf numFmtId="0" fontId="23" fillId="0" borderId="0" pivotButton="0" quotePrefix="0" xfId="0"/>
    <xf numFmtId="0" fontId="9" fillId="0" borderId="32" applyAlignment="1" pivotButton="0" quotePrefix="0" xfId="0">
      <alignment horizontal="justify" vertical="center" wrapText="1"/>
    </xf>
    <xf numFmtId="169" fontId="9" fillId="0" borderId="0" applyAlignment="1" pivotButton="0" quotePrefix="0" xfId="0">
      <alignment horizontal="center" vertical="center" wrapText="1"/>
    </xf>
    <xf numFmtId="0" fontId="9" fillId="0" borderId="50" applyAlignment="1" pivotButton="0" quotePrefix="0" xfId="0">
      <alignment horizontal="justify" vertical="center" wrapText="1"/>
    </xf>
    <xf numFmtId="169" fontId="9" fillId="0" borderId="8" applyAlignment="1" pivotButton="0" quotePrefix="0" xfId="0">
      <alignment horizontal="right" vertical="center" wrapText="1"/>
    </xf>
    <xf numFmtId="169" fontId="9" fillId="0" borderId="10" applyAlignment="1" pivotButton="0" quotePrefix="0" xfId="0">
      <alignment horizontal="right" vertical="center" wrapText="1"/>
    </xf>
    <xf numFmtId="169" fontId="9" fillId="0" borderId="60" applyAlignment="1" pivotButton="0" quotePrefix="0" xfId="0">
      <alignment horizontal="right" vertical="center" wrapText="1"/>
    </xf>
    <xf numFmtId="169" fontId="9" fillId="0" borderId="12" applyAlignment="1" pivotButton="0" quotePrefix="0" xfId="0">
      <alignment horizontal="right" vertical="center" wrapText="1"/>
    </xf>
    <xf numFmtId="169" fontId="9" fillId="0" borderId="37" applyAlignment="1" pivotButton="0" quotePrefix="0" xfId="0">
      <alignment horizontal="right" vertical="center" wrapText="1"/>
    </xf>
    <xf numFmtId="169" fontId="9" fillId="0" borderId="45" applyAlignment="1" pivotButton="0" quotePrefix="0" xfId="0">
      <alignment horizontal="right" vertical="center" wrapText="1"/>
    </xf>
    <xf numFmtId="0" fontId="19" fillId="0" borderId="0" pivotButton="0" quotePrefix="0" xfId="0"/>
    <xf numFmtId="0" fontId="9" fillId="0" borderId="0" applyAlignment="1" pivotButton="0" quotePrefix="0" xfId="0">
      <alignment horizontal="left"/>
    </xf>
    <xf numFmtId="0" fontId="9" fillId="0" borderId="37" applyAlignment="1" pivotButton="0" quotePrefix="0" xfId="0">
      <alignment horizontal="left"/>
    </xf>
    <xf numFmtId="166" fontId="9" fillId="0" borderId="0" pivotButton="0" quotePrefix="0" xfId="0"/>
    <xf numFmtId="0" fontId="10" fillId="0" borderId="30" pivotButton="0" quotePrefix="0" xfId="0"/>
    <xf numFmtId="0" fontId="9" fillId="0" borderId="10" applyAlignment="1" pivotButton="0" quotePrefix="0" xfId="0">
      <alignment horizontal="left"/>
    </xf>
    <xf numFmtId="0" fontId="9" fillId="0" borderId="0" applyAlignment="1" pivotButton="0" quotePrefix="0" xfId="0">
      <alignment horizontal="right"/>
    </xf>
    <xf numFmtId="169" fontId="9" fillId="0" borderId="0" pivotButton="0" quotePrefix="0" xfId="0"/>
    <xf numFmtId="0" fontId="9" fillId="6" borderId="0" pivotButton="0" quotePrefix="0" xfId="0"/>
    <xf numFmtId="0" fontId="0" fillId="6" borderId="1" pivotButton="0" quotePrefix="0" xfId="0"/>
    <xf numFmtId="0" fontId="0" fillId="6" borderId="2" pivotButton="0" quotePrefix="0" xfId="0"/>
    <xf numFmtId="0" fontId="0" fillId="6" borderId="3" pivotButton="0" quotePrefix="0" xfId="0"/>
    <xf numFmtId="0" fontId="10" fillId="6" borderId="4" pivotButton="0" quotePrefix="0" xfId="0"/>
    <xf numFmtId="0" fontId="9" fillId="6" borderId="5" pivotButton="0" quotePrefix="0" xfId="0"/>
    <xf numFmtId="10" fontId="0" fillId="6" borderId="8" pivotButton="0" quotePrefix="0" xfId="0"/>
    <xf numFmtId="10" fontId="0" fillId="6" borderId="10" pivotButton="0" quotePrefix="0" xfId="2"/>
    <xf numFmtId="10" fontId="0" fillId="6" borderId="10" pivotButton="0" quotePrefix="0" xfId="0"/>
    <xf numFmtId="10" fontId="0" fillId="6" borderId="7" pivotButton="0" quotePrefix="0" xfId="2"/>
    <xf numFmtId="10" fontId="0" fillId="6" borderId="9" pivotButton="0" quotePrefix="0" xfId="2"/>
    <xf numFmtId="10" fontId="0" fillId="6" borderId="11" pivotButton="0" quotePrefix="0" xfId="2"/>
    <xf numFmtId="10" fontId="0" fillId="6" borderId="44" pivotButton="0" quotePrefix="0" xfId="2"/>
    <xf numFmtId="10" fontId="0" fillId="6" borderId="12" pivotButton="0" quotePrefix="0" xfId="0"/>
    <xf numFmtId="0" fontId="10" fillId="0" borderId="56" applyAlignment="1" pivotButton="0" quotePrefix="0" xfId="0">
      <alignment horizontal="center" wrapText="1"/>
    </xf>
    <xf numFmtId="0" fontId="6" fillId="0" borderId="33" applyAlignment="1" pivotButton="0" quotePrefix="0" xfId="0">
      <alignment horizontal="left"/>
    </xf>
    <xf numFmtId="0" fontId="6" fillId="0" borderId="9" applyAlignment="1" pivotButton="0" quotePrefix="0" xfId="0">
      <alignment horizontal="left" vertical="center" wrapText="1"/>
    </xf>
    <xf numFmtId="0" fontId="6" fillId="0" borderId="9" applyAlignment="1" pivotButton="0" quotePrefix="0" xfId="0">
      <alignment horizontal="left"/>
    </xf>
    <xf numFmtId="0" fontId="6" fillId="0" borderId="11" applyAlignment="1" pivotButton="0" quotePrefix="0" xfId="0">
      <alignment horizontal="left"/>
    </xf>
    <xf numFmtId="0" fontId="20" fillId="0" borderId="62" pivotButton="0" quotePrefix="0" xfId="0"/>
    <xf numFmtId="0" fontId="20" fillId="0" borderId="63" applyAlignment="1" pivotButton="0" quotePrefix="0" xfId="0">
      <alignment horizontal="right"/>
    </xf>
    <xf numFmtId="9" fontId="20" fillId="0" borderId="64" applyAlignment="1" pivotButton="0" quotePrefix="0" xfId="0">
      <alignment horizontal="right"/>
    </xf>
    <xf numFmtId="9" fontId="20" fillId="0" borderId="63" applyAlignment="1" pivotButton="0" quotePrefix="0" xfId="0">
      <alignment horizontal="right"/>
    </xf>
    <xf numFmtId="0" fontId="36" fillId="0" borderId="0" pivotButton="0" quotePrefix="0" xfId="0"/>
    <xf numFmtId="0" fontId="35" fillId="0" borderId="0" pivotButton="0" quotePrefix="0" xfId="0"/>
    <xf numFmtId="0" fontId="36" fillId="0" borderId="65" applyAlignment="1" pivotButton="0" quotePrefix="0" xfId="0">
      <alignment horizontal="center"/>
    </xf>
    <xf numFmtId="9" fontId="36" fillId="0" borderId="65" applyAlignment="1" pivotButton="0" quotePrefix="0" xfId="0">
      <alignment horizontal="center"/>
    </xf>
    <xf numFmtId="169" fontId="36" fillId="0" borderId="65" applyAlignment="1" pivotButton="0" quotePrefix="0" xfId="0">
      <alignment horizontal="center"/>
    </xf>
    <xf numFmtId="0" fontId="36" fillId="0" borderId="67" applyAlignment="1" pivotButton="0" quotePrefix="0" xfId="0">
      <alignment horizontal="center"/>
    </xf>
    <xf numFmtId="9" fontId="36" fillId="0" borderId="67" applyAlignment="1" pivotButton="0" quotePrefix="0" xfId="0">
      <alignment horizontal="center"/>
    </xf>
    <xf numFmtId="169" fontId="36" fillId="0" borderId="67" applyAlignment="1" pivotButton="0" quotePrefix="0" xfId="0">
      <alignment horizontal="center"/>
    </xf>
    <xf numFmtId="0" fontId="36" fillId="0" borderId="68" pivotButton="0" quotePrefix="0" xfId="0"/>
    <xf numFmtId="0" fontId="36" fillId="0" borderId="69" pivotButton="0" quotePrefix="0" xfId="0"/>
    <xf numFmtId="0" fontId="36" fillId="0" borderId="70" pivotButton="0" quotePrefix="0" xfId="0"/>
    <xf numFmtId="0" fontId="36" fillId="0" borderId="71" pivotButton="0" quotePrefix="0" xfId="0"/>
    <xf numFmtId="0" fontId="36" fillId="0" borderId="72" pivotButton="0" quotePrefix="0" xfId="0"/>
    <xf numFmtId="0" fontId="36" fillId="0" borderId="66" applyAlignment="1" pivotButton="0" quotePrefix="0" xfId="0">
      <alignment horizontal="center"/>
    </xf>
    <xf numFmtId="9" fontId="36" fillId="0" borderId="66" applyAlignment="1" pivotButton="0" quotePrefix="0" xfId="0">
      <alignment horizontal="center"/>
    </xf>
    <xf numFmtId="169" fontId="36" fillId="0" borderId="66" applyAlignment="1" pivotButton="0" quotePrefix="0" xfId="0">
      <alignment horizontal="center"/>
    </xf>
    <xf numFmtId="0" fontId="36" fillId="0" borderId="76" applyAlignment="1" pivotButton="0" quotePrefix="0" xfId="0">
      <alignment horizontal="center"/>
    </xf>
    <xf numFmtId="0" fontId="36" fillId="0" borderId="77" applyAlignment="1" pivotButton="0" quotePrefix="0" xfId="0">
      <alignment horizontal="center"/>
    </xf>
    <xf numFmtId="0" fontId="36" fillId="0" borderId="78" applyAlignment="1" pivotButton="0" quotePrefix="0" xfId="0">
      <alignment horizontal="center"/>
    </xf>
    <xf numFmtId="0" fontId="35" fillId="0" borderId="79" pivotButton="0" quotePrefix="0" xfId="0"/>
    <xf numFmtId="0" fontId="20" fillId="0" borderId="21" applyAlignment="1" pivotButton="0" quotePrefix="0" xfId="0">
      <alignment horizontal="right"/>
    </xf>
    <xf numFmtId="0" fontId="20" fillId="0" borderId="25" applyAlignment="1" pivotButton="0" quotePrefix="0" xfId="0">
      <alignment horizontal="right"/>
    </xf>
    <xf numFmtId="0" fontId="20" fillId="0" borderId="80" applyAlignment="1" pivotButton="0" quotePrefix="0" xfId="0">
      <alignment horizontal="right"/>
    </xf>
    <xf numFmtId="0" fontId="20" fillId="0" borderId="81" applyAlignment="1" pivotButton="0" quotePrefix="0" xfId="0">
      <alignment horizontal="right"/>
    </xf>
    <xf numFmtId="0" fontId="20" fillId="0" borderId="82" applyAlignment="1" pivotButton="0" quotePrefix="0" xfId="0">
      <alignment horizontal="right"/>
    </xf>
    <xf numFmtId="0" fontId="20" fillId="0" borderId="83" applyAlignment="1" pivotButton="0" quotePrefix="0" xfId="0">
      <alignment horizontal="right"/>
    </xf>
    <xf numFmtId="0" fontId="20" fillId="0" borderId="84" applyAlignment="1" pivotButton="0" quotePrefix="0" xfId="0">
      <alignment horizontal="right"/>
    </xf>
    <xf numFmtId="0" fontId="8" fillId="0" borderId="43" pivotButton="0" quotePrefix="0" xfId="0"/>
    <xf numFmtId="0" fontId="8" fillId="0" borderId="45" pivotButton="0" quotePrefix="0" xfId="0"/>
    <xf numFmtId="0" fontId="8" fillId="0" borderId="36" pivotButton="0" quotePrefix="0" xfId="0"/>
    <xf numFmtId="0" fontId="8" fillId="0" borderId="84" pivotButton="0" quotePrefix="0" xfId="0"/>
    <xf numFmtId="0" fontId="8" fillId="0" borderId="44" applyAlignment="1" pivotButton="0" quotePrefix="0" xfId="0">
      <alignment horizontal="right"/>
    </xf>
    <xf numFmtId="0" fontId="8" fillId="0" borderId="45" applyAlignment="1" pivotButton="0" quotePrefix="0" xfId="0">
      <alignment horizontal="right"/>
    </xf>
    <xf numFmtId="0" fontId="35" fillId="0" borderId="87" applyAlignment="1" pivotButton="0" quotePrefix="0" xfId="0">
      <alignment horizontal="center"/>
    </xf>
    <xf numFmtId="0" fontId="35" fillId="0" borderId="88" applyAlignment="1" pivotButton="0" quotePrefix="0" xfId="0">
      <alignment horizontal="center"/>
    </xf>
    <xf numFmtId="0" fontId="35" fillId="0" borderId="89" applyAlignment="1" pivotButton="0" quotePrefix="0" xfId="0">
      <alignment horizontal="center"/>
    </xf>
    <xf numFmtId="0" fontId="36" fillId="0" borderId="75" applyAlignment="1" pivotButton="0" quotePrefix="0" xfId="0">
      <alignment wrapText="1"/>
    </xf>
    <xf numFmtId="10" fontId="9" fillId="0" borderId="0" pivotButton="0" quotePrefix="0" xfId="2"/>
    <xf numFmtId="169" fontId="9" fillId="0" borderId="33" pivotButton="0" quotePrefix="0" xfId="0"/>
    <xf numFmtId="169" fontId="9" fillId="0" borderId="33" pivotButton="0" quotePrefix="0" xfId="1"/>
    <xf numFmtId="169" fontId="9" fillId="0" borderId="32" pivotButton="0" quotePrefix="0" xfId="0"/>
    <xf numFmtId="169" fontId="9" fillId="0" borderId="37" applyAlignment="1" pivotButton="0" quotePrefix="0" xfId="0">
      <alignment horizontal="left" indent="2"/>
    </xf>
    <xf numFmtId="169" fontId="9" fillId="0" borderId="9" pivotButton="0" quotePrefix="0" xfId="0"/>
    <xf numFmtId="169" fontId="9" fillId="0" borderId="7" pivotButton="0" quotePrefix="0" xfId="1"/>
    <xf numFmtId="169" fontId="9" fillId="0" borderId="3" pivotButton="0" quotePrefix="0" xfId="0"/>
    <xf numFmtId="169" fontId="9" fillId="0" borderId="8" applyAlignment="1" pivotButton="0" quotePrefix="0" xfId="0">
      <alignment horizontal="left" indent="2"/>
    </xf>
    <xf numFmtId="169" fontId="9" fillId="0" borderId="11" pivotButton="0" quotePrefix="0" xfId="0"/>
    <xf numFmtId="169" fontId="9" fillId="0" borderId="44" pivotButton="0" quotePrefix="0" xfId="1"/>
    <xf numFmtId="169" fontId="9" fillId="0" borderId="43" pivotButton="0" quotePrefix="0" xfId="0"/>
    <xf numFmtId="169" fontId="9" fillId="0" borderId="45" applyAlignment="1" pivotButton="0" quotePrefix="0" xfId="0">
      <alignment horizontal="left" indent="2"/>
    </xf>
    <xf numFmtId="169" fontId="9" fillId="0" borderId="55" pivotButton="0" quotePrefix="0" xfId="1"/>
    <xf numFmtId="169" fontId="9" fillId="0" borderId="34" pivotButton="0" quotePrefix="0" xfId="1"/>
    <xf numFmtId="169" fontId="9" fillId="0" borderId="57" pivotButton="0" quotePrefix="0" xfId="1"/>
    <xf numFmtId="0" fontId="10" fillId="0" borderId="92" applyAlignment="1" pivotButton="0" quotePrefix="0" xfId="0">
      <alignment horizontal="center" wrapText="1"/>
    </xf>
    <xf numFmtId="169" fontId="9" fillId="0" borderId="93" pivotButton="0" quotePrefix="0" xfId="1"/>
    <xf numFmtId="169" fontId="9" fillId="0" borderId="61" pivotButton="0" quotePrefix="0" xfId="1"/>
    <xf numFmtId="169" fontId="9" fillId="0" borderId="94" pivotButton="0" quotePrefix="0" xfId="1"/>
    <xf numFmtId="0" fontId="6" fillId="0" borderId="10" pivotButton="0" quotePrefix="0" xfId="0"/>
    <xf numFmtId="0" fontId="9" fillId="0" borderId="1" applyAlignment="1" pivotButton="0" quotePrefix="0" xfId="0">
      <alignment vertical="center"/>
    </xf>
    <xf numFmtId="0" fontId="9" fillId="0" borderId="10" applyAlignment="1" pivotButton="0" quotePrefix="0" xfId="0">
      <alignment vertical="center" wrapText="1"/>
    </xf>
    <xf numFmtId="0" fontId="9" fillId="0" borderId="0" applyAlignment="1" pivotButton="0" quotePrefix="0" xfId="0">
      <alignment vertical="center"/>
    </xf>
    <xf numFmtId="0" fontId="9" fillId="0" borderId="9" applyAlignment="1" pivotButton="0" quotePrefix="0" xfId="0">
      <alignment horizontal="left" vertical="center"/>
    </xf>
    <xf numFmtId="0" fontId="9" fillId="0" borderId="9" applyAlignment="1" pivotButton="0" quotePrefix="0" xfId="0">
      <alignment vertical="center"/>
    </xf>
    <xf numFmtId="0" fontId="9" fillId="0" borderId="2" applyAlignment="1" pivotButton="0" quotePrefix="0" xfId="0">
      <alignment vertical="center"/>
    </xf>
    <xf numFmtId="0" fontId="9" fillId="0" borderId="11" applyAlignment="1" pivotButton="0" quotePrefix="0" xfId="0">
      <alignment horizontal="left" vertical="center"/>
    </xf>
    <xf numFmtId="0" fontId="9" fillId="0" borderId="11" applyAlignment="1" pivotButton="0" quotePrefix="0" xfId="0">
      <alignment vertical="center"/>
    </xf>
    <xf numFmtId="0" fontId="17" fillId="0" borderId="0" applyAlignment="1" pivotButton="0" quotePrefix="0" xfId="0">
      <alignment horizontal="left" vertical="center"/>
    </xf>
    <xf numFmtId="0" fontId="18" fillId="0" borderId="0" applyAlignment="1" pivotButton="0" quotePrefix="0" xfId="0">
      <alignment horizontal="justify" vertical="center" wrapText="1"/>
    </xf>
    <xf numFmtId="0" fontId="41" fillId="6" borderId="0" applyAlignment="1" pivotButton="0" quotePrefix="0" xfId="0">
      <alignment horizontal="center"/>
    </xf>
    <xf numFmtId="0" fontId="43" fillId="0" borderId="0" pivotButton="0" quotePrefix="0" xfId="0"/>
    <xf numFmtId="0" fontId="44" fillId="0" borderId="0" applyAlignment="1" pivotButton="0" quotePrefix="0" xfId="2">
      <alignment horizontal="left"/>
    </xf>
    <xf numFmtId="0" fontId="44" fillId="0" borderId="0" pivotButton="0" quotePrefix="0" xfId="0"/>
    <xf numFmtId="0" fontId="45" fillId="6" borderId="0" applyAlignment="1" pivotButton="0" quotePrefix="0" xfId="0">
      <alignment horizontal="center"/>
    </xf>
    <xf numFmtId="0" fontId="41" fillId="0" borderId="46" applyAlignment="1" pivotButton="0" quotePrefix="0" xfId="0">
      <alignment horizontal="justify" vertical="center" wrapText="1"/>
    </xf>
    <xf numFmtId="0" fontId="41" fillId="0" borderId="47" applyAlignment="1" pivotButton="0" quotePrefix="0" xfId="0">
      <alignment horizontal="justify" vertical="center" wrapText="1"/>
    </xf>
    <xf numFmtId="0" fontId="45" fillId="0" borderId="0" pivotButton="0" quotePrefix="0" xfId="0"/>
    <xf numFmtId="0" fontId="45" fillId="0" borderId="32" applyAlignment="1" pivotButton="0" quotePrefix="0" xfId="0">
      <alignment horizontal="justify" vertical="center" wrapText="1"/>
    </xf>
    <xf numFmtId="0" fontId="45" fillId="0" borderId="33" applyAlignment="1" pivotButton="0" quotePrefix="0" xfId="0">
      <alignment horizontal="justify" vertical="center" wrapText="1"/>
    </xf>
    <xf numFmtId="0" fontId="45" fillId="0" borderId="2" applyAlignment="1" pivotButton="0" quotePrefix="0" xfId="0">
      <alignment horizontal="justify" vertical="center" wrapText="1"/>
    </xf>
    <xf numFmtId="0" fontId="45" fillId="0" borderId="11" applyAlignment="1" pivotButton="0" quotePrefix="0" xfId="0">
      <alignment horizontal="justify" vertical="center" wrapText="1"/>
    </xf>
    <xf numFmtId="0" fontId="41" fillId="0" borderId="95" applyAlignment="1" pivotButton="0" quotePrefix="0" xfId="0">
      <alignment horizontal="justify" vertical="center" wrapText="1"/>
    </xf>
    <xf numFmtId="0" fontId="45" fillId="0" borderId="34" applyAlignment="1" pivotButton="0" quotePrefix="0" xfId="0">
      <alignment horizontal="justify" vertical="center" wrapText="1"/>
    </xf>
    <xf numFmtId="170" fontId="42" fillId="0" borderId="6" applyAlignment="1" pivotButton="0" quotePrefix="0" xfId="1">
      <alignment horizontal="right"/>
    </xf>
    <xf numFmtId="0" fontId="41" fillId="0" borderId="48" applyAlignment="1" pivotButton="0" quotePrefix="0" xfId="0">
      <alignment horizontal="right" vertical="center" wrapText="1"/>
    </xf>
    <xf numFmtId="169" fontId="45" fillId="0" borderId="37" applyAlignment="1" pivotButton="0" quotePrefix="0" xfId="0">
      <alignment horizontal="right" vertical="center" wrapText="1"/>
    </xf>
    <xf numFmtId="0" fontId="46" fillId="0" borderId="58" applyAlignment="1" pivotButton="0" quotePrefix="0" xfId="0">
      <alignment horizontal="left"/>
    </xf>
    <xf numFmtId="0" fontId="46" fillId="0" borderId="11" pivotButton="0" quotePrefix="0" xfId="0"/>
    <xf numFmtId="169" fontId="45" fillId="0" borderId="12" applyAlignment="1" pivotButton="0" quotePrefix="0" xfId="0">
      <alignment horizontal="right" vertical="center" wrapText="1"/>
    </xf>
    <xf numFmtId="10" fontId="0" fillId="0" borderId="0" pivotButton="0" quotePrefix="0" xfId="2"/>
    <xf numFmtId="10" fontId="0" fillId="6" borderId="0" pivotButton="0" quotePrefix="0" xfId="0"/>
    <xf numFmtId="0" fontId="10" fillId="0" borderId="95" pivotButton="0" quotePrefix="0" xfId="0"/>
    <xf numFmtId="0" fontId="47" fillId="0" borderId="0" pivotButton="0" quotePrefix="0" xfId="0"/>
    <xf numFmtId="0" fontId="6" fillId="0" borderId="45" pivotButton="0" quotePrefix="0" xfId="0"/>
    <xf numFmtId="0" fontId="6" fillId="0" borderId="8" pivotButton="0" quotePrefix="0" xfId="0"/>
    <xf numFmtId="0" fontId="35" fillId="0" borderId="4" pivotButton="0" quotePrefix="0" xfId="0"/>
    <xf numFmtId="0" fontId="35" fillId="0" borderId="5" pivotButton="0" quotePrefix="0" xfId="0"/>
    <xf numFmtId="0" fontId="35" fillId="0" borderId="6" pivotButton="0" quotePrefix="0" xfId="0"/>
    <xf numFmtId="0" fontId="36" fillId="0" borderId="3" pivotButton="0" quotePrefix="0" xfId="0"/>
    <xf numFmtId="169" fontId="36" fillId="0" borderId="7" pivotButton="0" quotePrefix="0" xfId="0"/>
    <xf numFmtId="169" fontId="36" fillId="0" borderId="8" pivotButton="0" quotePrefix="0" xfId="0"/>
    <xf numFmtId="169" fontId="36" fillId="0" borderId="8" applyAlignment="1" pivotButton="0" quotePrefix="0" xfId="0">
      <alignment wrapText="1"/>
    </xf>
    <xf numFmtId="0" fontId="36" fillId="0" borderId="1" pivotButton="0" quotePrefix="0" xfId="0"/>
    <xf numFmtId="169" fontId="36" fillId="0" borderId="9" pivotButton="0" quotePrefix="0" xfId="0"/>
    <xf numFmtId="169" fontId="36" fillId="0" borderId="10" pivotButton="0" quotePrefix="0" xfId="0"/>
    <xf numFmtId="169" fontId="36" fillId="0" borderId="10" applyAlignment="1" pivotButton="0" quotePrefix="0" xfId="0">
      <alignment wrapText="1"/>
    </xf>
    <xf numFmtId="0" fontId="36" fillId="0" borderId="50" pivotButton="0" quotePrefix="0" xfId="0"/>
    <xf numFmtId="169" fontId="36" fillId="0" borderId="60" pivotButton="0" quotePrefix="0" xfId="0"/>
    <xf numFmtId="169" fontId="36" fillId="0" borderId="24" applyAlignment="1" pivotButton="0" quotePrefix="0" xfId="0">
      <alignment wrapText="1"/>
    </xf>
    <xf numFmtId="0" fontId="36" fillId="0" borderId="43" pivotButton="0" quotePrefix="0" xfId="0"/>
    <xf numFmtId="169" fontId="36" fillId="0" borderId="44" pivotButton="0" quotePrefix="0" xfId="0"/>
    <xf numFmtId="169" fontId="36" fillId="0" borderId="45" pivotButton="0" quotePrefix="0" xfId="0"/>
    <xf numFmtId="0" fontId="35" fillId="0" borderId="5" applyAlignment="1" pivotButton="0" quotePrefix="0" xfId="0">
      <alignment horizontal="center"/>
    </xf>
    <xf numFmtId="0" fontId="35" fillId="0" borderId="6" applyAlignment="1" pivotButton="0" quotePrefix="0" xfId="0">
      <alignment horizontal="center"/>
    </xf>
    <xf numFmtId="0" fontId="36" fillId="0" borderId="32" pivotButton="0" quotePrefix="0" xfId="0"/>
    <xf numFmtId="0" fontId="36" fillId="0" borderId="33" applyAlignment="1" pivotButton="0" quotePrefix="0" xfId="0">
      <alignment horizontal="center"/>
    </xf>
    <xf numFmtId="0" fontId="36" fillId="0" borderId="37" applyAlignment="1" pivotButton="0" quotePrefix="0" xfId="0">
      <alignment horizontal="center"/>
    </xf>
    <xf numFmtId="0" fontId="36" fillId="0" borderId="9" applyAlignment="1" pivotButton="0" quotePrefix="0" xfId="0">
      <alignment horizontal="center"/>
    </xf>
    <xf numFmtId="0" fontId="36" fillId="0" borderId="10" applyAlignment="1" pivotButton="0" quotePrefix="0" xfId="0">
      <alignment horizontal="center"/>
    </xf>
    <xf numFmtId="0" fontId="36" fillId="0" borderId="7" applyAlignment="1" pivotButton="0" quotePrefix="0" xfId="0">
      <alignment horizontal="center"/>
    </xf>
    <xf numFmtId="0" fontId="36" fillId="0" borderId="8" applyAlignment="1" pivotButton="0" quotePrefix="0" xfId="0">
      <alignment horizontal="center"/>
    </xf>
    <xf numFmtId="0" fontId="36" fillId="0" borderId="97" applyAlignment="1" pivotButton="0" quotePrefix="0" xfId="0">
      <alignment horizontal="center"/>
    </xf>
    <xf numFmtId="0" fontId="36" fillId="0" borderId="60" applyAlignment="1" pivotButton="0" quotePrefix="0" xfId="0">
      <alignment horizontal="center"/>
    </xf>
    <xf numFmtId="0" fontId="36" fillId="0" borderId="2" pivotButton="0" quotePrefix="0" xfId="0"/>
    <xf numFmtId="0" fontId="36" fillId="0" borderId="11" applyAlignment="1" pivotButton="0" quotePrefix="0" xfId="0">
      <alignment horizontal="center"/>
    </xf>
    <xf numFmtId="0" fontId="36" fillId="0" borderId="12" applyAlignment="1" pivotButton="0" quotePrefix="0" xfId="0">
      <alignment horizontal="center"/>
    </xf>
    <xf numFmtId="0" fontId="36" fillId="0" borderId="0" applyAlignment="1" pivotButton="0" quotePrefix="0" xfId="0">
      <alignment horizontal="center"/>
    </xf>
    <xf numFmtId="0" fontId="39" fillId="0" borderId="0" pivotButton="0" quotePrefix="0" xfId="0"/>
    <xf numFmtId="0" fontId="35" fillId="2" borderId="5" applyAlignment="1" pivotButton="0" quotePrefix="0" xfId="0">
      <alignment horizontal="center"/>
    </xf>
    <xf numFmtId="0" fontId="36" fillId="2" borderId="33" applyAlignment="1" pivotButton="0" quotePrefix="0" xfId="0">
      <alignment horizontal="center"/>
    </xf>
    <xf numFmtId="0" fontId="36" fillId="2" borderId="9" applyAlignment="1" pivotButton="0" quotePrefix="0" xfId="0">
      <alignment horizontal="center"/>
    </xf>
    <xf numFmtId="0" fontId="36" fillId="2" borderId="7" applyAlignment="1" pivotButton="0" quotePrefix="0" xfId="0">
      <alignment horizontal="center"/>
    </xf>
    <xf numFmtId="0" fontId="36" fillId="2" borderId="97" applyAlignment="1" pivotButton="0" quotePrefix="0" xfId="0">
      <alignment horizontal="center"/>
    </xf>
    <xf numFmtId="0" fontId="36" fillId="2" borderId="11" applyAlignment="1" pivotButton="0" quotePrefix="0" xfId="0">
      <alignment horizontal="center"/>
    </xf>
    <xf numFmtId="0" fontId="28" fillId="0" borderId="0" pivotButton="0" quotePrefix="0" xfId="0"/>
    <xf numFmtId="0" fontId="9" fillId="0" borderId="8" applyAlignment="1" pivotButton="0" quotePrefix="0" xfId="0">
      <alignment horizontal="left"/>
    </xf>
    <xf numFmtId="0" fontId="9" fillId="0" borderId="0" applyAlignment="1" pivotButton="0" quotePrefix="0" xfId="0">
      <alignment horizontal="left" vertical="center"/>
    </xf>
    <xf numFmtId="171" fontId="18" fillId="0" borderId="8" applyAlignment="1" pivotButton="0" quotePrefix="0" xfId="0">
      <alignment horizontal="left"/>
    </xf>
    <xf numFmtId="0" fontId="9" fillId="0" borderId="45" applyAlignment="1" pivotButton="0" quotePrefix="0" xfId="0">
      <alignment horizontal="left"/>
    </xf>
    <xf numFmtId="0" fontId="6" fillId="0" borderId="7" applyAlignment="1" pivotButton="0" quotePrefix="0" xfId="0">
      <alignment horizontal="left"/>
    </xf>
    <xf numFmtId="0" fontId="9" fillId="0" borderId="50" pivotButton="0" quotePrefix="0" xfId="0"/>
    <xf numFmtId="0" fontId="6" fillId="0" borderId="97" applyAlignment="1" pivotButton="0" quotePrefix="0" xfId="0">
      <alignment horizontal="left"/>
    </xf>
    <xf numFmtId="0" fontId="6" fillId="0" borderId="97" pivotButton="0" quotePrefix="0" xfId="0"/>
    <xf numFmtId="0" fontId="10" fillId="6" borderId="6" pivotButton="0" quotePrefix="0" xfId="0"/>
    <xf numFmtId="0" fontId="9" fillId="0" borderId="0" applyAlignment="1" pivotButton="0" quotePrefix="1" xfId="0">
      <alignment horizontal="left"/>
    </xf>
    <xf numFmtId="0" fontId="6" fillId="0" borderId="97" applyAlignment="1" pivotButton="0" quotePrefix="0" xfId="0">
      <alignment horizontal="right"/>
    </xf>
    <xf numFmtId="40" fontId="10" fillId="0" borderId="0" pivotButton="0" quotePrefix="0" xfId="0"/>
    <xf numFmtId="0" fontId="6" fillId="0" borderId="11" applyAlignment="1" pivotButton="0" quotePrefix="0" xfId="0">
      <alignment wrapText="1"/>
    </xf>
    <xf numFmtId="40" fontId="9" fillId="0" borderId="0" pivotButton="0" quotePrefix="0" xfId="1"/>
    <xf numFmtId="0" fontId="9" fillId="0" borderId="44" applyAlignment="1" pivotButton="0" quotePrefix="0" xfId="0">
      <alignment horizontal="left" vertical="center"/>
    </xf>
    <xf numFmtId="0" fontId="9" fillId="0" borderId="44" applyAlignment="1" pivotButton="0" quotePrefix="0" xfId="0">
      <alignment vertical="center"/>
    </xf>
    <xf numFmtId="0" fontId="9" fillId="0" borderId="44" applyAlignment="1" pivotButton="0" quotePrefix="0" xfId="0">
      <alignment vertical="center" wrapText="1"/>
    </xf>
    <xf numFmtId="0" fontId="9" fillId="0" borderId="12" applyAlignment="1" pivotButton="0" quotePrefix="0" xfId="0">
      <alignment vertical="center" wrapText="1"/>
    </xf>
    <xf numFmtId="0" fontId="9" fillId="0" borderId="9" applyAlignment="1" pivotButton="0" quotePrefix="0" xfId="0">
      <alignment vertical="center" wrapText="1"/>
    </xf>
    <xf numFmtId="169" fontId="10" fillId="0" borderId="0" pivotButton="0" quotePrefix="0" xfId="0"/>
    <xf numFmtId="0" fontId="18" fillId="0" borderId="44" pivotButton="0" quotePrefix="0" xfId="0"/>
    <xf numFmtId="10" fontId="9" fillId="0" borderId="9" applyAlignment="1" pivotButton="0" quotePrefix="0" xfId="2">
      <alignment horizontal="right"/>
    </xf>
    <xf numFmtId="10" fontId="6" fillId="0" borderId="11" pivotButton="0" quotePrefix="0" xfId="2"/>
    <xf numFmtId="10" fontId="6" fillId="0" borderId="61" pivotButton="0" quotePrefix="0" xfId="2"/>
    <xf numFmtId="10" fontId="6" fillId="0" borderId="7" pivotButton="0" quotePrefix="0" xfId="2"/>
    <xf numFmtId="10" fontId="6" fillId="0" borderId="51" pivotButton="0" quotePrefix="0" xfId="2"/>
    <xf numFmtId="10" fontId="6" fillId="0" borderId="9" pivotButton="0" quotePrefix="0" xfId="2"/>
    <xf numFmtId="10" fontId="6" fillId="0" borderId="94" pivotButton="0" quotePrefix="0" xfId="2"/>
    <xf numFmtId="10" fontId="6" fillId="0" borderId="44" pivotButton="0" quotePrefix="0" xfId="2"/>
    <xf numFmtId="10" fontId="6" fillId="0" borderId="37" pivotButton="0" quotePrefix="0" xfId="2"/>
    <xf numFmtId="10" fontId="6" fillId="0" borderId="10" pivotButton="0" quotePrefix="0" xfId="2"/>
    <xf numFmtId="10" fontId="9" fillId="0" borderId="10" pivotButton="0" quotePrefix="0" xfId="2"/>
    <xf numFmtId="10" fontId="6" fillId="0" borderId="12" pivotButton="0" quotePrefix="0" xfId="2"/>
    <xf numFmtId="10" fontId="6" fillId="0" borderId="11" applyAlignment="1" pivotButton="0" quotePrefix="0" xfId="2">
      <alignment horizontal="right"/>
    </xf>
    <xf numFmtId="10" fontId="6" fillId="0" borderId="33" applyAlignment="1" pivotButton="0" quotePrefix="0" xfId="2">
      <alignment horizontal="right"/>
    </xf>
    <xf numFmtId="10" fontId="6" fillId="0" borderId="9" applyAlignment="1" pivotButton="0" quotePrefix="0" xfId="2">
      <alignment horizontal="right"/>
    </xf>
    <xf numFmtId="10" fontId="6" fillId="0" borderId="44" applyAlignment="1" pivotButton="0" quotePrefix="0" xfId="2">
      <alignment horizontal="right"/>
    </xf>
    <xf numFmtId="0" fontId="49" fillId="0" borderId="0" pivotButton="0" quotePrefix="0" xfId="0"/>
    <xf numFmtId="0" fontId="9" fillId="0" borderId="11" applyAlignment="1" pivotButton="0" quotePrefix="0" xfId="0">
      <alignment horizontal="right"/>
    </xf>
    <xf numFmtId="169" fontId="9" fillId="0" borderId="0" applyAlignment="1" pivotButton="0" quotePrefix="0" xfId="0">
      <alignment vertical="center"/>
    </xf>
    <xf numFmtId="0" fontId="18" fillId="0" borderId="7" applyAlignment="1" pivotButton="0" quotePrefix="0" xfId="0">
      <alignment horizontal="left"/>
    </xf>
    <xf numFmtId="0" fontId="18" fillId="2" borderId="7" applyAlignment="1" pivotButton="0" quotePrefix="0" xfId="0">
      <alignment horizontal="left"/>
    </xf>
    <xf numFmtId="0" fontId="10" fillId="0" borderId="47" applyAlignment="1" pivotButton="0" quotePrefix="0" xfId="0">
      <alignment wrapText="1"/>
    </xf>
    <xf numFmtId="0" fontId="10" fillId="0" borderId="47" applyAlignment="1" pivotButton="0" quotePrefix="0" xfId="0">
      <alignment horizontal="center" wrapText="1"/>
    </xf>
    <xf numFmtId="0" fontId="10" fillId="0" borderId="47" applyAlignment="1" pivotButton="0" quotePrefix="0" xfId="0">
      <alignment horizontal="right" wrapText="1"/>
    </xf>
    <xf numFmtId="0" fontId="10" fillId="0" borderId="48" applyAlignment="1" pivotButton="0" quotePrefix="0" xfId="0">
      <alignment horizontal="right" wrapText="1"/>
    </xf>
    <xf numFmtId="0" fontId="6" fillId="0" borderId="32" applyAlignment="1" pivotButton="0" quotePrefix="0" xfId="0">
      <alignment horizontal="center"/>
    </xf>
    <xf numFmtId="0" fontId="6" fillId="0" borderId="1" applyAlignment="1" pivotButton="0" quotePrefix="0" xfId="0">
      <alignment horizontal="center"/>
    </xf>
    <xf numFmtId="169" fontId="6" fillId="0" borderId="9" applyAlignment="1" pivotButton="0" quotePrefix="0" xfId="2">
      <alignment horizontal="right"/>
    </xf>
    <xf numFmtId="0" fontId="6" fillId="0" borderId="2" applyAlignment="1" pivotButton="0" quotePrefix="0" xfId="0">
      <alignment horizontal="center"/>
    </xf>
    <xf numFmtId="0" fontId="6" fillId="0" borderId="3" applyAlignment="1" pivotButton="0" quotePrefix="0" xfId="0">
      <alignment horizontal="center"/>
    </xf>
    <xf numFmtId="0" fontId="9" fillId="2" borderId="3" pivotButton="0" quotePrefix="0" xfId="0"/>
    <xf numFmtId="0" fontId="6" fillId="2" borderId="7" applyAlignment="1" pivotButton="0" quotePrefix="0" xfId="0">
      <alignment horizontal="left"/>
    </xf>
    <xf numFmtId="0" fontId="6" fillId="2" borderId="7" pivotButton="0" quotePrefix="0" xfId="0"/>
    <xf numFmtId="0" fontId="9" fillId="2" borderId="7" pivotButton="0" quotePrefix="0" xfId="0"/>
    <xf numFmtId="0" fontId="9" fillId="2" borderId="8" applyAlignment="1" pivotButton="0" quotePrefix="0" xfId="0">
      <alignment horizontal="left"/>
    </xf>
    <xf numFmtId="0" fontId="9" fillId="2" borderId="0" pivotButton="0" quotePrefix="0" xfId="0"/>
    <xf numFmtId="0" fontId="9" fillId="2" borderId="32" pivotButton="0" quotePrefix="0" xfId="0"/>
    <xf numFmtId="0" fontId="18" fillId="2" borderId="33" pivotButton="0" quotePrefix="0" xfId="0"/>
    <xf numFmtId="0" fontId="9" fillId="2" borderId="33" pivotButton="0" quotePrefix="0" xfId="0"/>
    <xf numFmtId="0" fontId="9" fillId="2" borderId="37" applyAlignment="1" pivotButton="0" quotePrefix="0" xfId="0">
      <alignment horizontal="left"/>
    </xf>
    <xf numFmtId="0" fontId="28" fillId="0" borderId="0" applyAlignment="1" pivotButton="0" quotePrefix="0" xfId="0">
      <alignment horizontal="left" vertical="center" wrapText="1"/>
    </xf>
    <xf numFmtId="0" fontId="28" fillId="0" borderId="0" applyAlignment="1" pivotButton="0" quotePrefix="0" xfId="0">
      <alignment horizontal="left"/>
    </xf>
    <xf numFmtId="0" fontId="17" fillId="0" borderId="38" applyAlignment="1" pivotButton="0" quotePrefix="0" xfId="0">
      <alignment horizontal="left" vertical="center"/>
    </xf>
    <xf numFmtId="0" fontId="17" fillId="0" borderId="31" applyAlignment="1" pivotButton="0" quotePrefix="0" xfId="0">
      <alignment horizontal="left" vertical="center"/>
    </xf>
    <xf numFmtId="0" fontId="48" fillId="0" borderId="0" applyAlignment="1" pivotButton="0" quotePrefix="0" xfId="0">
      <alignment horizontal="left"/>
    </xf>
    <xf numFmtId="0" fontId="25" fillId="0" borderId="0" applyAlignment="1" pivotButton="0" quotePrefix="0" xfId="0">
      <alignment horizontal="left"/>
    </xf>
    <xf numFmtId="0" fontId="33" fillId="6" borderId="36" applyAlignment="1" pivotButton="0" quotePrefix="0" xfId="0">
      <alignment horizontal="left"/>
    </xf>
    <xf numFmtId="0" fontId="16" fillId="0" borderId="38" applyAlignment="1" pivotButton="0" quotePrefix="0" xfId="0">
      <alignment horizontal="left" vertical="center"/>
    </xf>
    <xf numFmtId="172" fontId="20" fillId="0" borderId="10" applyAlignment="1" pivotButton="0" quotePrefix="0" xfId="0">
      <alignment horizontal="right"/>
    </xf>
    <xf numFmtId="172" fontId="20" fillId="0" borderId="25" applyAlignment="1" pivotButton="0" quotePrefix="0" xfId="0">
      <alignment horizontal="right"/>
    </xf>
    <xf numFmtId="172" fontId="20" fillId="0" borderId="82" applyAlignment="1" pivotButton="0" quotePrefix="0" xfId="0">
      <alignment horizontal="right"/>
    </xf>
    <xf numFmtId="172" fontId="20" fillId="0" borderId="51" applyAlignment="1" pivotButton="0" quotePrefix="0" xfId="0">
      <alignment horizontal="right"/>
    </xf>
    <xf numFmtId="172" fontId="20" fillId="0" borderId="45" applyAlignment="1" pivotButton="0" quotePrefix="0" xfId="0">
      <alignment horizontal="right"/>
    </xf>
    <xf numFmtId="172" fontId="20" fillId="0" borderId="36" applyAlignment="1" pivotButton="0" quotePrefix="0" xfId="0">
      <alignment horizontal="right"/>
    </xf>
    <xf numFmtId="172" fontId="20" fillId="0" borderId="44" applyAlignment="1" pivotButton="0" quotePrefix="0" xfId="0">
      <alignment horizontal="right"/>
    </xf>
    <xf numFmtId="173" fontId="9" fillId="0" borderId="3" pivotButton="0" quotePrefix="0" xfId="1"/>
    <xf numFmtId="174" fontId="9" fillId="0" borderId="8" applyAlignment="1" pivotButton="0" quotePrefix="0" xfId="0">
      <alignment horizontal="center"/>
    </xf>
    <xf numFmtId="174" fontId="9" fillId="0" borderId="10" applyAlignment="1" pivotButton="0" quotePrefix="0" xfId="0">
      <alignment horizontal="center"/>
    </xf>
    <xf numFmtId="173" fontId="9" fillId="0" borderId="1" pivotButton="0" quotePrefix="0" xfId="1"/>
    <xf numFmtId="175" fontId="9" fillId="0" borderId="0" pivotButton="0" quotePrefix="0" xfId="1"/>
    <xf numFmtId="175" fontId="10" fillId="0" borderId="0" pivotButton="0" quotePrefix="0" xfId="1"/>
    <xf numFmtId="175" fontId="10" fillId="0" borderId="0" pivotButton="0" quotePrefix="0" xfId="0"/>
    <xf numFmtId="175" fontId="9" fillId="0" borderId="0" pivotButton="0" quotePrefix="0" xfId="0"/>
    <xf numFmtId="173" fontId="9" fillId="0" borderId="43" pivotButton="0" quotePrefix="0" xfId="1"/>
    <xf numFmtId="174" fontId="9" fillId="0" borderId="12" applyAlignment="1" pivotButton="0" quotePrefix="0" xfId="0">
      <alignment horizontal="center"/>
    </xf>
    <xf numFmtId="173" fontId="9" fillId="0" borderId="2" pivotButton="0" quotePrefix="0" xfId="1"/>
    <xf numFmtId="173" fontId="9" fillId="0" borderId="0" pivotButton="0" quotePrefix="0" xfId="1"/>
    <xf numFmtId="174" fontId="9" fillId="0" borderId="0" applyAlignment="1" pivotButton="0" quotePrefix="0" xfId="0">
      <alignment horizontal="center"/>
    </xf>
    <xf numFmtId="173" fontId="17" fillId="0" borderId="4" pivotButton="0" quotePrefix="0" xfId="1"/>
    <xf numFmtId="174" fontId="10" fillId="0" borderId="6" applyAlignment="1" pivotButton="0" quotePrefix="0" xfId="0">
      <alignment horizontal="center"/>
    </xf>
    <xf numFmtId="173" fontId="17" fillId="5" borderId="30" pivotButton="0" quotePrefix="0" xfId="1"/>
    <xf numFmtId="174" fontId="17" fillId="0" borderId="38" applyAlignment="1" pivotButton="0" quotePrefix="0" xfId="0">
      <alignment horizontal="center"/>
    </xf>
    <xf numFmtId="173" fontId="17" fillId="0" borderId="6" applyAlignment="1" pivotButton="0" quotePrefix="0" xfId="1">
      <alignment horizontal="right"/>
    </xf>
    <xf numFmtId="174" fontId="10" fillId="0" borderId="30" applyAlignment="1" pivotButton="0" quotePrefix="0" xfId="0">
      <alignment horizontal="center"/>
    </xf>
    <xf numFmtId="173" fontId="19" fillId="0" borderId="3" pivotButton="0" quotePrefix="0" xfId="1"/>
    <xf numFmtId="174" fontId="19" fillId="0" borderId="8" applyAlignment="1" pivotButton="0" quotePrefix="0" xfId="0">
      <alignment horizontal="center"/>
    </xf>
    <xf numFmtId="173" fontId="19" fillId="5" borderId="90" pivotButton="0" quotePrefix="0" xfId="1"/>
    <xf numFmtId="174" fontId="19" fillId="0" borderId="91" applyAlignment="1" pivotButton="0" quotePrefix="0" xfId="0">
      <alignment horizontal="center"/>
    </xf>
    <xf numFmtId="176" fontId="9" fillId="0" borderId="8" pivotButton="0" quotePrefix="0" xfId="1"/>
    <xf numFmtId="174" fontId="9" fillId="0" borderId="90" applyAlignment="1" pivotButton="0" quotePrefix="0" xfId="0">
      <alignment horizontal="center"/>
    </xf>
    <xf numFmtId="173" fontId="19" fillId="0" borderId="1" pivotButton="0" quotePrefix="0" xfId="1"/>
    <xf numFmtId="174" fontId="19" fillId="0" borderId="10" applyAlignment="1" pivotButton="0" quotePrefix="0" xfId="0">
      <alignment horizontal="center"/>
    </xf>
    <xf numFmtId="173" fontId="19" fillId="5" borderId="24" pivotButton="0" quotePrefix="0" xfId="1"/>
    <xf numFmtId="174" fontId="19" fillId="0" borderId="25" applyAlignment="1" pivotButton="0" quotePrefix="0" xfId="0">
      <alignment horizontal="center"/>
    </xf>
    <xf numFmtId="176" fontId="9" fillId="0" borderId="10" pivotButton="0" quotePrefix="0" xfId="1"/>
    <xf numFmtId="174" fontId="9" fillId="0" borderId="24" applyAlignment="1" pivotButton="0" quotePrefix="0" xfId="0">
      <alignment horizontal="center"/>
    </xf>
    <xf numFmtId="173" fontId="19" fillId="0" borderId="2" pivotButton="0" quotePrefix="0" xfId="1"/>
    <xf numFmtId="174" fontId="19" fillId="0" borderId="12" applyAlignment="1" pivotButton="0" quotePrefix="0" xfId="0">
      <alignment horizontal="center"/>
    </xf>
    <xf numFmtId="173" fontId="19" fillId="5" borderId="28" pivotButton="0" quotePrefix="0" xfId="1"/>
    <xf numFmtId="174" fontId="19" fillId="0" borderId="58" applyAlignment="1" pivotButton="0" quotePrefix="0" xfId="0">
      <alignment horizontal="center"/>
    </xf>
    <xf numFmtId="176" fontId="9" fillId="0" borderId="12" pivotButton="0" quotePrefix="0" xfId="1"/>
    <xf numFmtId="174" fontId="9" fillId="0" borderId="28" applyAlignment="1" pivotButton="0" quotePrefix="0" xfId="0">
      <alignment horizontal="center"/>
    </xf>
    <xf numFmtId="173" fontId="19" fillId="0" borderId="0" pivotButton="0" quotePrefix="0" xfId="1"/>
    <xf numFmtId="177" fontId="2" fillId="0" borderId="24" applyAlignment="1" pivotButton="0" quotePrefix="0" xfId="0">
      <alignment horizontal="left"/>
    </xf>
    <xf numFmtId="177" fontId="2" fillId="3" borderId="9" applyAlignment="1" pivotButton="0" quotePrefix="0" xfId="0">
      <alignment horizontal="left"/>
    </xf>
    <xf numFmtId="172" fontId="9" fillId="0" borderId="37" pivotButton="0" quotePrefix="0" xfId="0"/>
    <xf numFmtId="172" fontId="9" fillId="0" borderId="10" pivotButton="0" quotePrefix="0" xfId="0"/>
    <xf numFmtId="172" fontId="9" fillId="0" borderId="45" pivotButton="0" quotePrefix="0" xfId="0"/>
    <xf numFmtId="172" fontId="9" fillId="0" borderId="8" pivotButton="0" quotePrefix="0" xfId="0"/>
    <xf numFmtId="172" fontId="9" fillId="0" borderId="49" pivotButton="0" quotePrefix="0" xfId="0"/>
    <xf numFmtId="172" fontId="9" fillId="0" borderId="12" pivotButton="0" quotePrefix="0" xfId="0"/>
    <xf numFmtId="175" fontId="9" fillId="0" borderId="0" pivotButton="0" quotePrefix="0" xfId="0"/>
    <xf numFmtId="178" fontId="9" fillId="0" borderId="32" applyAlignment="1" pivotButton="0" quotePrefix="0" xfId="1">
      <alignment horizontal="center"/>
    </xf>
    <xf numFmtId="178" fontId="9" fillId="0" borderId="33" pivotButton="0" quotePrefix="0" xfId="1"/>
    <xf numFmtId="179" fontId="9" fillId="0" borderId="0" pivotButton="0" quotePrefix="0" xfId="0"/>
    <xf numFmtId="178" fontId="9" fillId="0" borderId="1" applyAlignment="1" pivotButton="0" quotePrefix="0" xfId="1">
      <alignment horizontal="center"/>
    </xf>
    <xf numFmtId="178" fontId="9" fillId="0" borderId="9" pivotButton="0" quotePrefix="0" xfId="1"/>
    <xf numFmtId="178" fontId="9" fillId="0" borderId="2" applyAlignment="1" pivotButton="0" quotePrefix="0" xfId="1">
      <alignment horizontal="center"/>
    </xf>
    <xf numFmtId="178" fontId="9" fillId="0" borderId="11" pivotButton="0" quotePrefix="0" xfId="1"/>
    <xf numFmtId="180" fontId="9" fillId="0" borderId="0" applyAlignment="1" pivotButton="0" quotePrefix="0" xfId="1">
      <alignment vertical="center"/>
    </xf>
    <xf numFmtId="181" fontId="9" fillId="0" borderId="0" pivotButton="0" quotePrefix="0" xfId="1"/>
    <xf numFmtId="179" fontId="9" fillId="0" borderId="0" pivotButton="0" quotePrefix="0" xfId="1"/>
    <xf numFmtId="0" fontId="9" fillId="8" borderId="37" pivotButton="0" quotePrefix="0" xfId="0"/>
    <xf numFmtId="40" fontId="9" fillId="8" borderId="0" pivotButton="0" quotePrefix="0" xfId="1"/>
    <xf numFmtId="0" fontId="9" fillId="8" borderId="10" applyAlignment="1" pivotButton="0" quotePrefix="0" xfId="0">
      <alignment vertical="center" wrapText="1"/>
    </xf>
    <xf numFmtId="40" fontId="9" fillId="8" borderId="0" applyAlignment="1" pivotButton="0" quotePrefix="0" xfId="1">
      <alignment vertical="center"/>
    </xf>
    <xf numFmtId="172" fontId="29" fillId="0" borderId="12" applyAlignment="1" pivotButton="0" quotePrefix="0" xfId="0">
      <alignment horizontal="left" wrapText="1"/>
    </xf>
    <xf numFmtId="172" fontId="9" fillId="0" borderId="0" pivotButton="0" quotePrefix="0" xfId="0"/>
    <xf numFmtId="174" fontId="17" fillId="0" borderId="56" applyAlignment="1" pivotButton="0" quotePrefix="0" xfId="0">
      <alignment horizontal="center"/>
    </xf>
    <xf numFmtId="174" fontId="19" fillId="0" borderId="55" applyAlignment="1" pivotButton="0" quotePrefix="0" xfId="0">
      <alignment horizontal="center"/>
    </xf>
    <xf numFmtId="174" fontId="19" fillId="0" borderId="35" applyAlignment="1" pivotButton="0" quotePrefix="0" xfId="0">
      <alignment horizontal="center"/>
    </xf>
    <xf numFmtId="174" fontId="19" fillId="0" borderId="59" applyAlignment="1" pivotButton="0" quotePrefix="0" xfId="0">
      <alignment horizontal="center"/>
    </xf>
    <xf numFmtId="173" fontId="10" fillId="0" borderId="0" pivotButton="0" quotePrefix="0" xfId="1"/>
    <xf numFmtId="174" fontId="10" fillId="0" borderId="0" applyAlignment="1" pivotButton="0" quotePrefix="0" xfId="0">
      <alignment horizontal="center"/>
    </xf>
    <xf numFmtId="172" fontId="29" fillId="0" borderId="8" applyAlignment="1" pivotButton="0" quotePrefix="0" xfId="0">
      <alignment horizontal="left" wrapText="1"/>
    </xf>
    <xf numFmtId="172" fontId="18" fillId="0" borderId="8" applyAlignment="1" pivotButton="0" quotePrefix="0" xfId="0">
      <alignment horizontal="left"/>
    </xf>
    <xf numFmtId="172" fontId="29" fillId="0" borderId="45" applyAlignment="1" pivotButton="0" quotePrefix="0" xfId="0">
      <alignment horizontal="left" wrapText="1"/>
    </xf>
    <xf numFmtId="172" fontId="18" fillId="0" borderId="10" applyAlignment="1" pivotButton="0" quotePrefix="0" xfId="0">
      <alignment horizontal="left"/>
    </xf>
    <xf numFmtId="172" fontId="9" fillId="0" borderId="8" applyAlignment="1" pivotButton="0" quotePrefix="0" xfId="0">
      <alignment horizontal="left"/>
    </xf>
    <xf numFmtId="172" fontId="9" fillId="0" borderId="45" applyAlignment="1" pivotButton="0" quotePrefix="0" xfId="0">
      <alignment horizontal="left"/>
    </xf>
    <xf numFmtId="172" fontId="29" fillId="0" borderId="37" applyAlignment="1" pivotButton="0" quotePrefix="0" xfId="0">
      <alignment horizontal="left" wrapText="1"/>
    </xf>
    <xf numFmtId="172" fontId="29" fillId="0" borderId="0" applyAlignment="1" pivotButton="0" quotePrefix="0" xfId="0">
      <alignment horizontal="left" wrapText="1"/>
    </xf>
    <xf numFmtId="173" fontId="17" fillId="0" borderId="32" pivotButton="0" quotePrefix="0" xfId="1"/>
    <xf numFmtId="173" fontId="17" fillId="0" borderId="37" applyAlignment="1" pivotButton="0" quotePrefix="0" xfId="1">
      <alignment horizontal="right"/>
    </xf>
    <xf numFmtId="174" fontId="10" fillId="0" borderId="20" applyAlignment="1" pivotButton="0" quotePrefix="0" xfId="0">
      <alignment horizontal="center"/>
    </xf>
    <xf numFmtId="176" fontId="9" fillId="0" borderId="0" pivotButton="0" quotePrefix="0" xfId="1"/>
    <xf numFmtId="172" fontId="29" fillId="0" borderId="8" applyAlignment="1" pivotButton="0" quotePrefix="0" xfId="0">
      <alignment horizontal="left"/>
    </xf>
    <xf numFmtId="175" fontId="9" fillId="0" borderId="0" applyAlignment="1" pivotButton="0" quotePrefix="0" xfId="1">
      <alignment vertical="center"/>
    </xf>
    <xf numFmtId="172" fontId="29" fillId="0" borderId="10" applyAlignment="1" pivotButton="0" quotePrefix="0" xfId="0">
      <alignment horizontal="left" wrapText="1"/>
    </xf>
    <xf numFmtId="174" fontId="10" fillId="0" borderId="37" applyAlignment="1" pivotButton="0" quotePrefix="0" xfId="0">
      <alignment horizontal="center"/>
    </xf>
    <xf numFmtId="175" fontId="10" fillId="0" borderId="0" pivotButton="0" quotePrefix="0" xfId="0"/>
    <xf numFmtId="174" fontId="34" fillId="0" borderId="10" applyAlignment="1" pivotButton="0" quotePrefix="0" xfId="0">
      <alignment horizontal="center"/>
    </xf>
    <xf numFmtId="174" fontId="34" fillId="0" borderId="8" applyAlignment="1" pivotButton="0" quotePrefix="0" xfId="0">
      <alignment horizontal="center"/>
    </xf>
    <xf numFmtId="174" fontId="34" fillId="0" borderId="45" applyAlignment="1" pivotButton="0" quotePrefix="0" xfId="0">
      <alignment horizontal="center"/>
    </xf>
    <xf numFmtId="182" fontId="9" fillId="0" borderId="0" pivotButton="0" quotePrefix="0" xfId="0"/>
    <xf numFmtId="174" fontId="17" fillId="0" borderId="34" applyAlignment="1" pivotButton="0" quotePrefix="0" xfId="0">
      <alignment horizontal="center"/>
    </xf>
    <xf numFmtId="183" fontId="44" fillId="0" borderId="0" pivotButton="0" quotePrefix="0" xfId="0"/>
    <xf numFmtId="172" fontId="28" fillId="0" borderId="0" pivotButton="0" quotePrefix="0" xfId="0"/>
    <xf numFmtId="172" fontId="9" fillId="2" borderId="0" pivotButton="0" quotePrefix="0" xfId="0"/>
    <xf numFmtId="184" fontId="9" fillId="0" borderId="0" pivotButton="0" quotePrefix="0" xfId="0"/>
    <xf numFmtId="183" fontId="10" fillId="0" borderId="0" pivotButton="0" quotePrefix="0" xfId="0"/>
    <xf numFmtId="185" fontId="10" fillId="0" borderId="0" pivotButton="0" quotePrefix="0" xfId="0"/>
    <xf numFmtId="172" fontId="9" fillId="0" borderId="10" applyAlignment="1" pivotButton="0" quotePrefix="0" xfId="0">
      <alignment horizontal="left"/>
    </xf>
    <xf numFmtId="172" fontId="9" fillId="0" borderId="60" applyAlignment="1" pivotButton="0" quotePrefix="0" xfId="0">
      <alignment horizontal="left"/>
    </xf>
    <xf numFmtId="172" fontId="9" fillId="0" borderId="12" applyAlignment="1" pivotButton="0" quotePrefix="0" xfId="0">
      <alignment horizontal="left"/>
    </xf>
    <xf numFmtId="172" fontId="0" fillId="6" borderId="0" pivotButton="0" quotePrefix="0" xfId="0"/>
    <xf numFmtId="175" fontId="0" fillId="0" borderId="0" pivotButton="0" quotePrefix="0" xfId="0"/>
    <xf numFmtId="186" fontId="0" fillId="0" borderId="0" pivotButton="0" quotePrefix="0" xfId="0"/>
    <xf numFmtId="187" fontId="10" fillId="0" borderId="0" applyAlignment="1" pivotButton="0" quotePrefix="0" xfId="0">
      <alignment horizontal="center"/>
    </xf>
    <xf numFmtId="175" fontId="18" fillId="0" borderId="0" pivotButton="0" quotePrefix="0" xfId="0"/>
    <xf numFmtId="175" fontId="7" fillId="0" borderId="0" pivotButton="0" quotePrefix="0" xfId="1"/>
    <xf numFmtId="188" fontId="0" fillId="0" borderId="0" pivotButton="0" quotePrefix="0" xfId="0"/>
    <xf numFmtId="189" fontId="0" fillId="0" borderId="0" pivotButton="0" quotePrefix="0" xfId="0"/>
    <xf numFmtId="177" fontId="15" fillId="0" borderId="24" applyAlignment="1" pivotButton="0" quotePrefix="0" xfId="0">
      <alignment horizontal="left"/>
    </xf>
    <xf numFmtId="177" fontId="15" fillId="0" borderId="9" applyAlignment="1" pivotButton="0" quotePrefix="0" xfId="0">
      <alignment horizontal="left"/>
    </xf>
    <xf numFmtId="0" fontId="9" fillId="8" borderId="32" pivotButton="0" quotePrefix="0" xfId="0"/>
    <xf numFmtId="0" fontId="9" fillId="8" borderId="33" applyAlignment="1" pivotButton="0" quotePrefix="0" xfId="0">
      <alignment horizontal="left"/>
    </xf>
    <xf numFmtId="0" fontId="9" fillId="8" borderId="33" pivotButton="0" quotePrefix="0" xfId="0"/>
    <xf numFmtId="0" fontId="9" fillId="8" borderId="1" applyAlignment="1" pivotButton="0" quotePrefix="0" xfId="0">
      <alignment vertical="center"/>
    </xf>
    <xf numFmtId="0" fontId="9" fillId="8" borderId="9" applyAlignment="1" pivotButton="0" quotePrefix="0" xfId="0">
      <alignment horizontal="left" vertical="center"/>
    </xf>
    <xf numFmtId="0" fontId="9" fillId="8" borderId="9" applyAlignment="1" pivotButton="0" quotePrefix="0" xfId="0">
      <alignment vertical="center"/>
    </xf>
    <xf numFmtId="0" fontId="20" fillId="8" borderId="81" applyAlignment="1" pivotButton="0" quotePrefix="0" xfId="0">
      <alignment horizontal="right"/>
    </xf>
    <xf numFmtId="10" fontId="20" fillId="8" borderId="37" applyAlignment="1" pivotButton="0" quotePrefix="0" xfId="0">
      <alignment horizontal="right"/>
    </xf>
    <xf numFmtId="169" fontId="9" fillId="8" borderId="33" pivotButton="0" quotePrefix="0" xfId="1"/>
    <xf numFmtId="169" fontId="9" fillId="8" borderId="7" pivotButton="0" quotePrefix="0" xfId="1"/>
    <xf numFmtId="169" fontId="9" fillId="8" borderId="44" pivotButton="0" quotePrefix="0" xfId="1"/>
    <xf numFmtId="0" fontId="37" fillId="0" borderId="99" applyAlignment="1" pivotButton="0" quotePrefix="0" xfId="0">
      <alignment horizontal="center"/>
    </xf>
    <xf numFmtId="0" fontId="0" fillId="0" borderId="73" pivotButton="0" quotePrefix="0" xfId="0"/>
    <xf numFmtId="0" fontId="0" fillId="0" borderId="74" pivotButton="0" quotePrefix="0" xfId="0"/>
    <xf numFmtId="0" fontId="26" fillId="0" borderId="98" applyAlignment="1" pivotButton="0" quotePrefix="0" xfId="0">
      <alignment horizontal="center"/>
    </xf>
    <xf numFmtId="0" fontId="0" fillId="0" borderId="85" pivotButton="0" quotePrefix="0" xfId="0"/>
    <xf numFmtId="0" fontId="0" fillId="0" borderId="86" pivotButton="0" quotePrefix="0" xfId="0"/>
    <xf numFmtId="0" fontId="31" fillId="0" borderId="17" applyAlignment="1" pivotButton="0" quotePrefix="0" xfId="0">
      <alignment horizontal="left" wrapText="1"/>
    </xf>
    <xf numFmtId="0" fontId="0" fillId="0" borderId="17" pivotButton="0" quotePrefix="0" xfId="0"/>
    <xf numFmtId="0" fontId="38" fillId="0" borderId="73" applyAlignment="1" pivotButton="0" quotePrefix="0" xfId="0">
      <alignment horizontal="left"/>
    </xf>
    <xf numFmtId="0" fontId="30" fillId="0" borderId="17" applyAlignment="1" pivotButton="0" quotePrefix="0" xfId="0">
      <alignment horizontal="left" vertical="center" wrapText="1"/>
    </xf>
    <xf numFmtId="173" fontId="22" fillId="0" borderId="0" applyAlignment="1" pivotButton="0" quotePrefix="0" xfId="1">
      <alignment horizontal="left"/>
    </xf>
    <xf numFmtId="0" fontId="9" fillId="0" borderId="0" pivotButton="0" quotePrefix="0" xfId="0"/>
    <xf numFmtId="0" fontId="17" fillId="0" borderId="0" applyAlignment="1" pivotButton="0" quotePrefix="0" xfId="0">
      <alignment horizontal="left"/>
    </xf>
    <xf numFmtId="0" fontId="10" fillId="5" borderId="52" applyAlignment="1" pivotButton="0" quotePrefix="0" xfId="0">
      <alignment horizontal="center"/>
    </xf>
    <xf numFmtId="0" fontId="0" fillId="0" borderId="54" pivotButton="0" quotePrefix="0" xfId="0"/>
    <xf numFmtId="0" fontId="0" fillId="0" borderId="53" pivotButton="0" quotePrefix="0" xfId="0"/>
    <xf numFmtId="175" fontId="9" fillId="0" borderId="0" applyAlignment="1" pivotButton="0" quotePrefix="0" xfId="1">
      <alignment horizontal="left" vertical="center"/>
    </xf>
    <xf numFmtId="173" fontId="22" fillId="0" borderId="36" applyAlignment="1" pivotButton="0" quotePrefix="0" xfId="1">
      <alignment horizontal="left"/>
    </xf>
    <xf numFmtId="0" fontId="0" fillId="0" borderId="36" pivotButton="0" quotePrefix="0" xfId="0"/>
    <xf numFmtId="0" fontId="8" fillId="0" borderId="36" applyAlignment="1" pivotButton="0" quotePrefix="0" xfId="0">
      <alignment horizontal="left"/>
    </xf>
    <xf numFmtId="0" fontId="8" fillId="0" borderId="30" applyAlignment="1" pivotButton="0" quotePrefix="0" xfId="0">
      <alignment horizontal="left"/>
    </xf>
    <xf numFmtId="0" fontId="0" fillId="0" borderId="38" pivotButton="0" quotePrefix="0" xfId="0"/>
    <xf numFmtId="0" fontId="0" fillId="0" borderId="31" pivotButton="0" quotePrefix="0" xfId="0"/>
    <xf numFmtId="0" fontId="16" fillId="0" borderId="4" applyAlignment="1" pivotButton="0" quotePrefix="0" xfId="0">
      <alignment horizontal="left" vertical="center"/>
    </xf>
    <xf numFmtId="0" fontId="0" fillId="0" borderId="92" pivotButton="0" quotePrefix="0" xfId="0"/>
    <xf numFmtId="0" fontId="8" fillId="0" borderId="16" applyAlignment="1" pivotButton="0" quotePrefix="0" xfId="0">
      <alignment horizontal="left"/>
    </xf>
    <xf numFmtId="0" fontId="0" fillId="0" borderId="18" pivotButton="0" quotePrefix="0" xfId="0"/>
    <xf numFmtId="0" fontId="25" fillId="0" borderId="30" applyAlignment="1" pivotButton="0" quotePrefix="0" xfId="0">
      <alignment horizontal="left"/>
    </xf>
    <xf numFmtId="0" fontId="24" fillId="0" borderId="0" applyAlignment="1" pivotButton="0" quotePrefix="0" xfId="0">
      <alignment horizontal="left"/>
    </xf>
    <xf numFmtId="0" fontId="0" fillId="0" borderId="0" pivotButton="0" quotePrefix="0" xfId="0"/>
    <xf numFmtId="0" fontId="10" fillId="0" borderId="16" applyAlignment="1" pivotButton="0" quotePrefix="0" xfId="0">
      <alignment horizontal="left" vertical="center" wrapText="1"/>
    </xf>
    <xf numFmtId="0" fontId="27" fillId="0" borderId="0" applyAlignment="1" pivotButton="0" quotePrefix="0" xfId="0">
      <alignment horizontal="left"/>
    </xf>
    <xf numFmtId="0" fontId="18" fillId="0" borderId="0" pivotButton="0" quotePrefix="0" xfId="0"/>
    <xf numFmtId="0" fontId="10" fillId="0" borderId="30" applyAlignment="1" pivotButton="0" quotePrefix="0" xfId="0">
      <alignment horizontal="center"/>
    </xf>
    <xf numFmtId="0" fontId="17" fillId="0" borderId="30" applyAlignment="1" pivotButton="0" quotePrefix="0" xfId="0">
      <alignment horizontal="left" vertical="center"/>
    </xf>
    <xf numFmtId="0" fontId="25" fillId="0" borderId="58" applyAlignment="1" pivotButton="0" quotePrefix="0" xfId="0">
      <alignment horizontal="left"/>
    </xf>
    <xf numFmtId="0" fontId="0" fillId="0" borderId="58" pivotButton="0" quotePrefix="0" xfId="0"/>
    <xf numFmtId="0" fontId="28" fillId="0" borderId="0" applyAlignment="1" pivotButton="0" quotePrefix="0" xfId="0">
      <alignment horizontal="left"/>
    </xf>
    <xf numFmtId="173" fontId="22" fillId="0" borderId="0" applyAlignment="1" pivotButton="0" quotePrefix="0" xfId="1">
      <alignment horizontal="left" wrapText="1"/>
    </xf>
    <xf numFmtId="0" fontId="17" fillId="0" borderId="30" applyAlignment="1" pivotButton="0" quotePrefix="0" xfId="0">
      <alignment horizontal="center" vertical="center"/>
    </xf>
    <xf numFmtId="0" fontId="25" fillId="0" borderId="0" applyAlignment="1" pivotButton="0" quotePrefix="0" xfId="0">
      <alignment horizontal="left"/>
    </xf>
    <xf numFmtId="0" fontId="48" fillId="0" borderId="0" applyAlignment="1" pivotButton="0" quotePrefix="0" xfId="0">
      <alignment horizontal="left"/>
    </xf>
    <xf numFmtId="0" fontId="25" fillId="0" borderId="36" applyAlignment="1" pivotButton="0" quotePrefix="0" xfId="0">
      <alignment horizontal="left"/>
    </xf>
    <xf numFmtId="0" fontId="24" fillId="0" borderId="0" applyAlignment="1" pivotButton="0" quotePrefix="0" xfId="0">
      <alignment horizontal="center"/>
    </xf>
    <xf numFmtId="0" fontId="9" fillId="0" borderId="40" applyAlignment="1" pivotButton="0" quotePrefix="0" xfId="0">
      <alignment horizontal="center"/>
    </xf>
    <xf numFmtId="0" fontId="0" fillId="0" borderId="40" pivotButton="0" quotePrefix="0" xfId="0"/>
    <xf numFmtId="0" fontId="9" fillId="0" borderId="45" applyAlignment="1" pivotButton="0" quotePrefix="0" xfId="0">
      <alignment horizontal="center"/>
    </xf>
    <xf numFmtId="0" fontId="0" fillId="0" borderId="49" pivotButton="0" quotePrefix="0" xfId="0"/>
    <xf numFmtId="0" fontId="0" fillId="0" borderId="45" pivotButton="0" quotePrefix="0" xfId="0"/>
    <xf numFmtId="0" fontId="17" fillId="0" borderId="4" applyAlignment="1" pivotButton="0" quotePrefix="0" xfId="0">
      <alignment horizontal="left" vertical="center"/>
    </xf>
    <xf numFmtId="0" fontId="10" fillId="0" borderId="30" applyAlignment="1" pivotButton="0" quotePrefix="0" xfId="0">
      <alignment horizontal="left" vertical="center" wrapText="1"/>
    </xf>
    <xf numFmtId="0" fontId="41" fillId="6" borderId="4" applyAlignment="1" pivotButton="0" quotePrefix="0" xfId="0">
      <alignment horizontal="left"/>
    </xf>
    <xf numFmtId="0" fontId="33" fillId="6" borderId="36" applyAlignment="1" pivotButton="0" quotePrefix="0" xfId="0">
      <alignment horizontal="left"/>
    </xf>
    <xf numFmtId="172" fontId="28" fillId="0" borderId="0" applyAlignment="1" pivotButton="0" quotePrefix="0" xfId="0">
      <alignment horizontal="center" vertical="center"/>
    </xf>
    <xf numFmtId="0" fontId="5" fillId="0" borderId="0" applyAlignment="1" pivotButton="0" quotePrefix="0" xfId="0">
      <alignment horizontal="left"/>
    </xf>
    <xf numFmtId="0" fontId="33" fillId="7" borderId="36" applyAlignment="1" pivotButton="0" quotePrefix="0" xfId="0">
      <alignment horizontal="left"/>
    </xf>
    <xf numFmtId="0" fontId="10" fillId="0" borderId="6" applyAlignment="1" pivotButton="0" quotePrefix="0" xfId="4">
      <alignment horizontal="center" vertical="center"/>
    </xf>
    <xf numFmtId="0" fontId="10" fillId="0" borderId="92" applyAlignment="1" pivotButton="0" quotePrefix="0" xfId="0">
      <alignment horizontal="center" vertical="center"/>
    </xf>
    <xf numFmtId="0" fontId="0" fillId="0" borderId="96" pivotButton="0" quotePrefix="0" xfId="0"/>
    <xf numFmtId="0" fontId="0" fillId="0" borderId="94" pivotButton="0" quotePrefix="0" xfId="0"/>
    <xf numFmtId="0" fontId="10" fillId="0" borderId="92" applyAlignment="1" pivotButton="0" quotePrefix="0" xfId="0">
      <alignment horizontal="center" vertical="center" wrapText="1"/>
    </xf>
    <xf numFmtId="0" fontId="10" fillId="0" borderId="30" applyAlignment="1" pivotButton="0" quotePrefix="0" xfId="0">
      <alignment horizontal="left"/>
    </xf>
    <xf numFmtId="0" fontId="5" fillId="0" borderId="94" applyAlignment="1" pivotButton="0" quotePrefix="0" xfId="0">
      <alignment horizontal="center" vertical="center" wrapText="1"/>
    </xf>
    <xf numFmtId="0" fontId="28" fillId="0" borderId="0" applyAlignment="1" pivotButton="0" quotePrefix="0" xfId="0">
      <alignment horizontal="left" vertical="center" wrapText="1"/>
    </xf>
    <xf numFmtId="0" fontId="40" fillId="0" borderId="36" applyAlignment="1" pivotButton="0" quotePrefix="0" xfId="0">
      <alignment horizontal="left" vertical="center" wrapText="1"/>
    </xf>
    <xf numFmtId="0" fontId="16" fillId="0" borderId="0" applyAlignment="1" pivotButton="0" quotePrefix="0" xfId="0">
      <alignment horizontal="left" vertical="center"/>
    </xf>
    <xf numFmtId="0" fontId="3" fillId="0" borderId="17" applyAlignment="1" pivotButton="0" quotePrefix="0" xfId="0">
      <alignment horizontal="left" vertical="center" wrapText="1"/>
    </xf>
    <xf numFmtId="0" fontId="16" fillId="0" borderId="52" applyAlignment="1" pivotButton="0" quotePrefix="0" xfId="0">
      <alignment horizontal="left" vertical="center"/>
    </xf>
    <xf numFmtId="0" fontId="16" fillId="0" borderId="30" applyAlignment="1" pivotButton="0" quotePrefix="0" xfId="0">
      <alignment horizontal="left" vertical="center" wrapText="1"/>
    </xf>
    <xf numFmtId="0" fontId="9" fillId="2" borderId="2" pivotButton="0" quotePrefix="0" xfId="0"/>
    <xf numFmtId="0" fontId="9" fillId="2" borderId="11" applyAlignment="1" pivotButton="0" quotePrefix="0" xfId="0">
      <alignment horizontal="left"/>
    </xf>
    <xf numFmtId="0" fontId="9" fillId="2" borderId="11" pivotButton="0" quotePrefix="0" xfId="0"/>
    <xf numFmtId="0" fontId="9" fillId="2" borderId="12" pivotButton="0" quotePrefix="0" xfId="0"/>
    <xf numFmtId="0" fontId="6" fillId="2" borderId="11" applyAlignment="1" pivotButton="0" quotePrefix="0" xfId="0">
      <alignment horizontal="left"/>
    </xf>
    <xf numFmtId="169" fontId="36" fillId="0" borderId="66" applyAlignment="1" pivotButton="0" quotePrefix="0" xfId="0">
      <alignment horizontal="center"/>
    </xf>
    <xf numFmtId="169" fontId="36" fillId="0" borderId="65" applyAlignment="1" pivotButton="0" quotePrefix="0" xfId="0">
      <alignment horizontal="center"/>
    </xf>
    <xf numFmtId="169" fontId="36" fillId="0" borderId="67" applyAlignment="1" pivotButton="0" quotePrefix="0" xfId="0">
      <alignment horizontal="center"/>
    </xf>
    <xf numFmtId="172" fontId="20" fillId="0" borderId="10" applyAlignment="1" pivotButton="0" quotePrefix="0" xfId="0">
      <alignment horizontal="right"/>
    </xf>
    <xf numFmtId="172" fontId="20" fillId="0" borderId="25" applyAlignment="1" pivotButton="0" quotePrefix="0" xfId="0">
      <alignment horizontal="right"/>
    </xf>
    <xf numFmtId="172" fontId="20" fillId="0" borderId="82" applyAlignment="1" pivotButton="0" quotePrefix="0" xfId="0">
      <alignment horizontal="right"/>
    </xf>
    <xf numFmtId="172" fontId="20" fillId="0" borderId="51" applyAlignment="1" pivotButton="0" quotePrefix="0" xfId="0">
      <alignment horizontal="right"/>
    </xf>
    <xf numFmtId="172" fontId="20" fillId="0" borderId="45" applyAlignment="1" pivotButton="0" quotePrefix="0" xfId="0">
      <alignment horizontal="right"/>
    </xf>
    <xf numFmtId="172" fontId="20" fillId="0" borderId="36" applyAlignment="1" pivotButton="0" quotePrefix="0" xfId="0">
      <alignment horizontal="right"/>
    </xf>
    <xf numFmtId="172" fontId="20" fillId="0" borderId="44" applyAlignment="1" pivotButton="0" quotePrefix="0" xfId="0">
      <alignment horizontal="right"/>
    </xf>
    <xf numFmtId="169" fontId="36" fillId="0" borderId="7" pivotButton="0" quotePrefix="0" xfId="0"/>
    <xf numFmtId="169" fontId="36" fillId="0" borderId="8" pivotButton="0" quotePrefix="0" xfId="0"/>
    <xf numFmtId="169" fontId="36" fillId="0" borderId="8" applyAlignment="1" pivotButton="0" quotePrefix="0" xfId="0">
      <alignment wrapText="1"/>
    </xf>
    <xf numFmtId="169" fontId="36" fillId="0" borderId="9" pivotButton="0" quotePrefix="0" xfId="0"/>
    <xf numFmtId="169" fontId="36" fillId="0" borderId="10" pivotButton="0" quotePrefix="0" xfId="0"/>
    <xf numFmtId="169" fontId="36" fillId="0" borderId="10" applyAlignment="1" pivotButton="0" quotePrefix="0" xfId="0">
      <alignment wrapText="1"/>
    </xf>
    <xf numFmtId="169" fontId="36" fillId="0" borderId="60" pivotButton="0" quotePrefix="0" xfId="0"/>
    <xf numFmtId="169" fontId="36" fillId="0" borderId="24" applyAlignment="1" pivotButton="0" quotePrefix="0" xfId="0">
      <alignment wrapText="1"/>
    </xf>
    <xf numFmtId="169" fontId="36" fillId="0" borderId="44" pivotButton="0" quotePrefix="0" xfId="0"/>
    <xf numFmtId="169" fontId="36" fillId="0" borderId="45" pivotButton="0" quotePrefix="0" xfId="0"/>
    <xf numFmtId="169" fontId="9" fillId="0" borderId="37" applyAlignment="1" pivotButton="0" quotePrefix="0" xfId="0">
      <alignment horizontal="right" vertical="center" wrapText="1"/>
    </xf>
    <xf numFmtId="169" fontId="9" fillId="0" borderId="8" applyAlignment="1" pivotButton="0" quotePrefix="0" xfId="0">
      <alignment horizontal="right" vertical="center" wrapText="1"/>
    </xf>
    <xf numFmtId="169" fontId="9" fillId="0" borderId="12" applyAlignment="1" pivotButton="0" quotePrefix="0" xfId="0">
      <alignment horizontal="right" vertical="center" wrapText="1"/>
    </xf>
    <xf numFmtId="169" fontId="9" fillId="0" borderId="10" applyAlignment="1" pivotButton="0" quotePrefix="0" xfId="0">
      <alignment horizontal="right" vertical="center" wrapText="1"/>
    </xf>
    <xf numFmtId="169" fontId="9" fillId="0" borderId="60" applyAlignment="1" pivotButton="0" quotePrefix="0" xfId="0">
      <alignment horizontal="right" vertical="center" wrapText="1"/>
    </xf>
    <xf numFmtId="169" fontId="9" fillId="0" borderId="0" applyAlignment="1" pivotButton="0" quotePrefix="0" xfId="0">
      <alignment horizontal="center" vertical="center" wrapText="1"/>
    </xf>
    <xf numFmtId="169" fontId="9" fillId="0" borderId="45" applyAlignment="1" pivotButton="0" quotePrefix="0" xfId="0">
      <alignment horizontal="right" vertical="center" wrapText="1"/>
    </xf>
    <xf numFmtId="173" fontId="9" fillId="0" borderId="3" pivotButton="0" quotePrefix="0" xfId="1"/>
    <xf numFmtId="174" fontId="9" fillId="0" borderId="8" applyAlignment="1" pivotButton="0" quotePrefix="0" xfId="0">
      <alignment horizontal="center"/>
    </xf>
    <xf numFmtId="174" fontId="9" fillId="0" borderId="10" applyAlignment="1" pivotButton="0" quotePrefix="0" xfId="0">
      <alignment horizontal="center"/>
    </xf>
    <xf numFmtId="173" fontId="9" fillId="0" borderId="1" pivotButton="0" quotePrefix="0" xfId="1"/>
    <xf numFmtId="175" fontId="9" fillId="0" borderId="0" applyAlignment="1" pivotButton="0" quotePrefix="0" xfId="1">
      <alignment horizontal="left" vertical="center"/>
    </xf>
    <xf numFmtId="175" fontId="9" fillId="0" borderId="0" pivotButton="0" quotePrefix="0" xfId="1"/>
    <xf numFmtId="175" fontId="10" fillId="0" borderId="0" pivotButton="0" quotePrefix="0" xfId="1"/>
    <xf numFmtId="175" fontId="10" fillId="0" borderId="0" pivotButton="0" quotePrefix="0" xfId="0"/>
    <xf numFmtId="175" fontId="9" fillId="0" borderId="0" pivotButton="0" quotePrefix="0" xfId="0"/>
    <xf numFmtId="173" fontId="9" fillId="0" borderId="43" pivotButton="0" quotePrefix="0" xfId="1"/>
    <xf numFmtId="174" fontId="9" fillId="0" borderId="12" applyAlignment="1" pivotButton="0" quotePrefix="0" xfId="0">
      <alignment horizontal="center"/>
    </xf>
    <xf numFmtId="173" fontId="9" fillId="0" borderId="2" pivotButton="0" quotePrefix="0" xfId="1"/>
    <xf numFmtId="173" fontId="9" fillId="0" borderId="0" pivotButton="0" quotePrefix="0" xfId="1"/>
    <xf numFmtId="174" fontId="9" fillId="0" borderId="0" applyAlignment="1" pivotButton="0" quotePrefix="0" xfId="0">
      <alignment horizontal="center"/>
    </xf>
    <xf numFmtId="173" fontId="22" fillId="0" borderId="36" applyAlignment="1" pivotButton="0" quotePrefix="0" xfId="1">
      <alignment horizontal="left"/>
    </xf>
    <xf numFmtId="173" fontId="17" fillId="0" borderId="4" pivotButton="0" quotePrefix="0" xfId="1"/>
    <xf numFmtId="174" fontId="10" fillId="0" borderId="6" applyAlignment="1" pivotButton="0" quotePrefix="0" xfId="0">
      <alignment horizontal="center"/>
    </xf>
    <xf numFmtId="173" fontId="17" fillId="5" borderId="30" pivotButton="0" quotePrefix="0" xfId="1"/>
    <xf numFmtId="174" fontId="17" fillId="0" borderId="38" applyAlignment="1" pivotButton="0" quotePrefix="0" xfId="0">
      <alignment horizontal="center"/>
    </xf>
    <xf numFmtId="173" fontId="17" fillId="0" borderId="6" applyAlignment="1" pivotButton="0" quotePrefix="0" xfId="1">
      <alignment horizontal="right"/>
    </xf>
    <xf numFmtId="174" fontId="10" fillId="0" borderId="30" applyAlignment="1" pivotButton="0" quotePrefix="0" xfId="0">
      <alignment horizontal="center"/>
    </xf>
    <xf numFmtId="173" fontId="19" fillId="0" borderId="3" pivotButton="0" quotePrefix="0" xfId="1"/>
    <xf numFmtId="174" fontId="19" fillId="0" borderId="8" applyAlignment="1" pivotButton="0" quotePrefix="0" xfId="0">
      <alignment horizontal="center"/>
    </xf>
    <xf numFmtId="173" fontId="19" fillId="5" borderId="90" pivotButton="0" quotePrefix="0" xfId="1"/>
    <xf numFmtId="174" fontId="19" fillId="0" borderId="91" applyAlignment="1" pivotButton="0" quotePrefix="0" xfId="0">
      <alignment horizontal="center"/>
    </xf>
    <xf numFmtId="174" fontId="9" fillId="0" borderId="90" applyAlignment="1" pivotButton="0" quotePrefix="0" xfId="0">
      <alignment horizontal="center"/>
    </xf>
    <xf numFmtId="173" fontId="19" fillId="0" borderId="1" pivotButton="0" quotePrefix="0" xfId="1"/>
    <xf numFmtId="174" fontId="19" fillId="0" borderId="10" applyAlignment="1" pivotButton="0" quotePrefix="0" xfId="0">
      <alignment horizontal="center"/>
    </xf>
    <xf numFmtId="173" fontId="19" fillId="5" borderId="24" pivotButton="0" quotePrefix="0" xfId="1"/>
    <xf numFmtId="174" fontId="19" fillId="0" borderId="25" applyAlignment="1" pivotButton="0" quotePrefix="0" xfId="0">
      <alignment horizontal="center"/>
    </xf>
    <xf numFmtId="174" fontId="9" fillId="0" borderId="24" applyAlignment="1" pivotButton="0" quotePrefix="0" xfId="0">
      <alignment horizontal="center"/>
    </xf>
    <xf numFmtId="173" fontId="19" fillId="0" borderId="2" pivotButton="0" quotePrefix="0" xfId="1"/>
    <xf numFmtId="174" fontId="19" fillId="0" borderId="12" applyAlignment="1" pivotButton="0" quotePrefix="0" xfId="0">
      <alignment horizontal="center"/>
    </xf>
    <xf numFmtId="173" fontId="19" fillId="5" borderId="28" pivotButton="0" quotePrefix="0" xfId="1"/>
    <xf numFmtId="174" fontId="19" fillId="0" borderId="58" applyAlignment="1" pivotButton="0" quotePrefix="0" xfId="0">
      <alignment horizontal="center"/>
    </xf>
    <xf numFmtId="174" fontId="9" fillId="0" borderId="28" applyAlignment="1" pivotButton="0" quotePrefix="0" xfId="0">
      <alignment horizontal="center"/>
    </xf>
    <xf numFmtId="173" fontId="19" fillId="0" borderId="0" pivotButton="0" quotePrefix="0" xfId="1"/>
    <xf numFmtId="173" fontId="22" fillId="0" borderId="0" applyAlignment="1" pivotButton="0" quotePrefix="0" xfId="1">
      <alignment horizontal="left"/>
    </xf>
    <xf numFmtId="177" fontId="2" fillId="0" borderId="24" applyAlignment="1" pivotButton="0" quotePrefix="0" xfId="0">
      <alignment horizontal="left"/>
    </xf>
    <xf numFmtId="177" fontId="2" fillId="3" borderId="9" applyAlignment="1" pivotButton="0" quotePrefix="0" xfId="0">
      <alignment horizontal="left"/>
    </xf>
    <xf numFmtId="172" fontId="9" fillId="0" borderId="37" pivotButton="0" quotePrefix="0" xfId="0"/>
    <xf numFmtId="172" fontId="9" fillId="0" borderId="10" pivotButton="0" quotePrefix="0" xfId="0"/>
    <xf numFmtId="172" fontId="9" fillId="0" borderId="45" pivotButton="0" quotePrefix="0" xfId="0"/>
    <xf numFmtId="172" fontId="9" fillId="0" borderId="8" pivotButton="0" quotePrefix="0" xfId="0"/>
    <xf numFmtId="172" fontId="9" fillId="0" borderId="49" pivotButton="0" quotePrefix="0" xfId="0"/>
    <xf numFmtId="172" fontId="9" fillId="0" borderId="12" pivotButton="0" quotePrefix="0" xfId="0"/>
    <xf numFmtId="0" fontId="27" fillId="0" borderId="0" applyAlignment="1" pivotButton="0" quotePrefix="0" xfId="0">
      <alignment horizontal="left" vertical="top" wrapText="1"/>
    </xf>
    <xf numFmtId="178" fontId="9" fillId="0" borderId="32" applyAlignment="1" pivotButton="0" quotePrefix="0" xfId="1">
      <alignment horizontal="center"/>
    </xf>
    <xf numFmtId="178" fontId="9" fillId="0" borderId="33" pivotButton="0" quotePrefix="0" xfId="1"/>
    <xf numFmtId="169" fontId="9" fillId="0" borderId="33" pivotButton="0" quotePrefix="0" xfId="0"/>
    <xf numFmtId="169" fontId="9" fillId="8" borderId="33" pivotButton="0" quotePrefix="0" xfId="1"/>
    <xf numFmtId="169" fontId="9" fillId="0" borderId="93" pivotButton="0" quotePrefix="0" xfId="1"/>
    <xf numFmtId="169" fontId="9" fillId="0" borderId="32" pivotButton="0" quotePrefix="0" xfId="0"/>
    <xf numFmtId="169" fontId="9" fillId="0" borderId="37" applyAlignment="1" pivotButton="0" quotePrefix="0" xfId="0">
      <alignment horizontal="left" indent="2"/>
    </xf>
    <xf numFmtId="179" fontId="9" fillId="0" borderId="0" pivotButton="0" quotePrefix="0" xfId="0"/>
    <xf numFmtId="178" fontId="9" fillId="0" borderId="1" applyAlignment="1" pivotButton="0" quotePrefix="0" xfId="1">
      <alignment horizontal="center"/>
    </xf>
    <xf numFmtId="178" fontId="9" fillId="0" borderId="9" pivotButton="0" quotePrefix="0" xfId="1"/>
    <xf numFmtId="169" fontId="9" fillId="0" borderId="9" pivotButton="0" quotePrefix="0" xfId="0"/>
    <xf numFmtId="169" fontId="9" fillId="8" borderId="7" pivotButton="0" quotePrefix="0" xfId="1"/>
    <xf numFmtId="169" fontId="9" fillId="0" borderId="61" pivotButton="0" quotePrefix="0" xfId="1"/>
    <xf numFmtId="169" fontId="9" fillId="0" borderId="3" pivotButton="0" quotePrefix="0" xfId="0"/>
    <xf numFmtId="169" fontId="9" fillId="0" borderId="8" applyAlignment="1" pivotButton="0" quotePrefix="0" xfId="0">
      <alignment horizontal="left" indent="2"/>
    </xf>
    <xf numFmtId="178" fontId="9" fillId="0" borderId="2" applyAlignment="1" pivotButton="0" quotePrefix="0" xfId="1">
      <alignment horizontal="center"/>
    </xf>
    <xf numFmtId="178" fontId="9" fillId="0" borderId="11" pivotButton="0" quotePrefix="0" xfId="1"/>
    <xf numFmtId="169" fontId="9" fillId="0" borderId="11" pivotButton="0" quotePrefix="0" xfId="0"/>
    <xf numFmtId="169" fontId="9" fillId="8" borderId="44" pivotButton="0" quotePrefix="0" xfId="1"/>
    <xf numFmtId="169" fontId="9" fillId="0" borderId="94" pivotButton="0" quotePrefix="0" xfId="1"/>
    <xf numFmtId="169" fontId="9" fillId="0" borderId="43" pivotButton="0" quotePrefix="0" xfId="0"/>
    <xf numFmtId="169" fontId="9" fillId="0" borderId="45" applyAlignment="1" pivotButton="0" quotePrefix="0" xfId="0">
      <alignment horizontal="left" indent="2"/>
    </xf>
    <xf numFmtId="169" fontId="9" fillId="0" borderId="33" pivotButton="0" quotePrefix="0" xfId="1"/>
    <xf numFmtId="169" fontId="9" fillId="0" borderId="7" pivotButton="0" quotePrefix="0" xfId="1"/>
    <xf numFmtId="169" fontId="9" fillId="0" borderId="44" pivotButton="0" quotePrefix="0" xfId="1"/>
    <xf numFmtId="169" fontId="9" fillId="0" borderId="34" pivotButton="0" quotePrefix="0" xfId="1"/>
    <xf numFmtId="169" fontId="9" fillId="0" borderId="55" pivotButton="0" quotePrefix="0" xfId="1"/>
    <xf numFmtId="169" fontId="9" fillId="0" borderId="57" pivotButton="0" quotePrefix="0" xfId="1"/>
    <xf numFmtId="180" fontId="9" fillId="0" borderId="0" applyAlignment="1" pivotButton="0" quotePrefix="0" xfId="1">
      <alignment vertical="center"/>
    </xf>
    <xf numFmtId="0" fontId="9" fillId="0" borderId="12" applyAlignment="1" pivotButton="0" quotePrefix="0" xfId="0">
      <alignment horizontal="left" vertical="top" wrapText="1"/>
    </xf>
    <xf numFmtId="181" fontId="9" fillId="0" borderId="0" pivotButton="0" quotePrefix="0" xfId="1"/>
    <xf numFmtId="179" fontId="9" fillId="0" borderId="0" pivotButton="0" quotePrefix="0" xfId="1"/>
    <xf numFmtId="172" fontId="29" fillId="0" borderId="12" applyAlignment="1" pivotButton="0" quotePrefix="0" xfId="0">
      <alignment horizontal="left" wrapText="1"/>
    </xf>
    <xf numFmtId="172" fontId="9" fillId="0" borderId="0" pivotButton="0" quotePrefix="0" xfId="0"/>
    <xf numFmtId="174" fontId="17" fillId="0" borderId="56" applyAlignment="1" pivotButton="0" quotePrefix="0" xfId="0">
      <alignment horizontal="center"/>
    </xf>
    <xf numFmtId="174" fontId="19" fillId="0" borderId="55" applyAlignment="1" pivotButton="0" quotePrefix="0" xfId="0">
      <alignment horizontal="center"/>
    </xf>
    <xf numFmtId="174" fontId="19" fillId="0" borderId="35" applyAlignment="1" pivotButton="0" quotePrefix="0" xfId="0">
      <alignment horizontal="center"/>
    </xf>
    <xf numFmtId="174" fontId="19" fillId="0" borderId="59" applyAlignment="1" pivotButton="0" quotePrefix="0" xfId="0">
      <alignment horizontal="center"/>
    </xf>
    <xf numFmtId="173" fontId="10" fillId="0" borderId="0" pivotButton="0" quotePrefix="0" xfId="1"/>
    <xf numFmtId="174" fontId="10" fillId="0" borderId="0" applyAlignment="1" pivotButton="0" quotePrefix="0" xfId="0">
      <alignment horizontal="center"/>
    </xf>
    <xf numFmtId="173" fontId="22" fillId="0" borderId="0" applyAlignment="1" pivotButton="0" quotePrefix="0" xfId="1">
      <alignment horizontal="left" wrapText="1"/>
    </xf>
    <xf numFmtId="172" fontId="29" fillId="0" borderId="8" applyAlignment="1" pivotButton="0" quotePrefix="0" xfId="0">
      <alignment horizontal="left" wrapText="1"/>
    </xf>
    <xf numFmtId="172" fontId="18" fillId="0" borderId="8" applyAlignment="1" pivotButton="0" quotePrefix="0" xfId="0">
      <alignment horizontal="left"/>
    </xf>
    <xf numFmtId="172" fontId="29" fillId="0" borderId="45" applyAlignment="1" pivotButton="0" quotePrefix="0" xfId="0">
      <alignment horizontal="left" wrapText="1"/>
    </xf>
    <xf numFmtId="172" fontId="18" fillId="0" borderId="10" applyAlignment="1" pivotButton="0" quotePrefix="0" xfId="0">
      <alignment horizontal="left"/>
    </xf>
    <xf numFmtId="172" fontId="9" fillId="0" borderId="8" applyAlignment="1" pivotButton="0" quotePrefix="0" xfId="0">
      <alignment horizontal="left"/>
    </xf>
    <xf numFmtId="172" fontId="9" fillId="0" borderId="45" applyAlignment="1" pivotButton="0" quotePrefix="0" xfId="0">
      <alignment horizontal="left"/>
    </xf>
    <xf numFmtId="172" fontId="29" fillId="0" borderId="37" applyAlignment="1" pivotButton="0" quotePrefix="0" xfId="0">
      <alignment horizontal="left" wrapText="1"/>
    </xf>
    <xf numFmtId="171" fontId="18" fillId="0" borderId="8" applyAlignment="1" pivotButton="0" quotePrefix="0" xfId="0">
      <alignment horizontal="left"/>
    </xf>
    <xf numFmtId="172" fontId="29" fillId="0" borderId="0" applyAlignment="1" pivotButton="0" quotePrefix="0" xfId="0">
      <alignment horizontal="left" wrapText="1"/>
    </xf>
    <xf numFmtId="173" fontId="17" fillId="0" borderId="32" pivotButton="0" quotePrefix="0" xfId="1"/>
    <xf numFmtId="173" fontId="17" fillId="0" borderId="37" applyAlignment="1" pivotButton="0" quotePrefix="0" xfId="1">
      <alignment horizontal="right"/>
    </xf>
    <xf numFmtId="174" fontId="10" fillId="0" borderId="20" applyAlignment="1" pivotButton="0" quotePrefix="0" xfId="0">
      <alignment horizontal="center"/>
    </xf>
    <xf numFmtId="172" fontId="29" fillId="0" borderId="8" applyAlignment="1" pivotButton="0" quotePrefix="0" xfId="0">
      <alignment horizontal="left"/>
    </xf>
    <xf numFmtId="175" fontId="9" fillId="0" borderId="0" applyAlignment="1" pivotButton="0" quotePrefix="0" xfId="1">
      <alignment vertical="center"/>
    </xf>
    <xf numFmtId="172" fontId="29" fillId="0" borderId="10" applyAlignment="1" pivotButton="0" quotePrefix="0" xfId="0">
      <alignment horizontal="left" wrapText="1"/>
    </xf>
    <xf numFmtId="174" fontId="10" fillId="0" borderId="37" applyAlignment="1" pivotButton="0" quotePrefix="0" xfId="0">
      <alignment horizontal="center"/>
    </xf>
    <xf numFmtId="174" fontId="34" fillId="0" borderId="10" applyAlignment="1" pivotButton="0" quotePrefix="0" xfId="0">
      <alignment horizontal="center"/>
    </xf>
    <xf numFmtId="174" fontId="34" fillId="0" borderId="8" applyAlignment="1" pivotButton="0" quotePrefix="0" xfId="0">
      <alignment horizontal="center"/>
    </xf>
    <xf numFmtId="174" fontId="34" fillId="0" borderId="45" applyAlignment="1" pivotButton="0" quotePrefix="0" xfId="0">
      <alignment horizontal="center"/>
    </xf>
    <xf numFmtId="165" fontId="9" fillId="0" borderId="0" pivotButton="0" quotePrefix="0" xfId="1"/>
    <xf numFmtId="182" fontId="9" fillId="0" borderId="0" pivotButton="0" quotePrefix="0" xfId="0"/>
    <xf numFmtId="166" fontId="9" fillId="0" borderId="0" pivotButton="0" quotePrefix="0" xfId="1"/>
    <xf numFmtId="167" fontId="9" fillId="0" borderId="0" pivotButton="0" quotePrefix="0" xfId="1"/>
    <xf numFmtId="164" fontId="9" fillId="0" borderId="0" pivotButton="0" quotePrefix="0" xfId="2"/>
    <xf numFmtId="168" fontId="9" fillId="0" borderId="0" pivotButton="0" quotePrefix="0" xfId="0"/>
    <xf numFmtId="174" fontId="17" fillId="0" borderId="34" applyAlignment="1" pivotButton="0" quotePrefix="0" xfId="0">
      <alignment horizontal="center"/>
    </xf>
    <xf numFmtId="170" fontId="42" fillId="0" borderId="6" applyAlignment="1" pivotButton="0" quotePrefix="0" xfId="1">
      <alignment horizontal="right"/>
    </xf>
    <xf numFmtId="169" fontId="45" fillId="0" borderId="37" applyAlignment="1" pivotButton="0" quotePrefix="0" xfId="0">
      <alignment horizontal="right" vertical="center" wrapText="1"/>
    </xf>
    <xf numFmtId="183" fontId="44" fillId="0" borderId="0" pivotButton="0" quotePrefix="0" xfId="0"/>
    <xf numFmtId="169" fontId="45" fillId="0" borderId="12" applyAlignment="1" pivotButton="0" quotePrefix="0" xfId="0">
      <alignment horizontal="right" vertical="center" wrapText="1"/>
    </xf>
    <xf numFmtId="172" fontId="28" fillId="0" borderId="0" pivotButton="0" quotePrefix="0" xfId="0"/>
    <xf numFmtId="169" fontId="9" fillId="0" borderId="0" pivotButton="0" quotePrefix="0" xfId="0"/>
    <xf numFmtId="169" fontId="9" fillId="0" borderId="0" applyAlignment="1" pivotButton="0" quotePrefix="0" xfId="0">
      <alignment vertical="center"/>
    </xf>
    <xf numFmtId="169" fontId="10" fillId="0" borderId="0" pivotButton="0" quotePrefix="0" xfId="0"/>
    <xf numFmtId="172" fontId="9" fillId="2" borderId="0" pivotButton="0" quotePrefix="0" xfId="0"/>
    <xf numFmtId="184" fontId="9" fillId="0" borderId="0" pivotButton="0" quotePrefix="0" xfId="0"/>
    <xf numFmtId="183" fontId="10" fillId="0" borderId="0" pivotButton="0" quotePrefix="0" xfId="0"/>
    <xf numFmtId="166" fontId="9" fillId="0" borderId="0" pivotButton="0" quotePrefix="0" xfId="0"/>
    <xf numFmtId="185" fontId="10" fillId="0" borderId="0" pivotButton="0" quotePrefix="0" xfId="0"/>
    <xf numFmtId="172" fontId="9" fillId="0" borderId="10" applyAlignment="1" pivotButton="0" quotePrefix="0" xfId="0">
      <alignment horizontal="left"/>
    </xf>
    <xf numFmtId="172" fontId="28" fillId="0" borderId="0" applyAlignment="1" pivotButton="0" quotePrefix="0" xfId="0">
      <alignment horizontal="center" vertical="center"/>
    </xf>
    <xf numFmtId="172" fontId="9" fillId="0" borderId="60" applyAlignment="1" pivotButton="0" quotePrefix="0" xfId="0">
      <alignment horizontal="left"/>
    </xf>
    <xf numFmtId="172" fontId="9" fillId="0" borderId="12" applyAlignment="1" pivotButton="0" quotePrefix="0" xfId="0">
      <alignment horizontal="left"/>
    </xf>
    <xf numFmtId="172" fontId="0" fillId="6" borderId="0" pivotButton="0" quotePrefix="0" xfId="0"/>
    <xf numFmtId="175" fontId="0" fillId="0" borderId="0" pivotButton="0" quotePrefix="0" xfId="0"/>
    <xf numFmtId="186" fontId="0" fillId="0" borderId="0" pivotButton="0" quotePrefix="0" xfId="0"/>
    <xf numFmtId="187" fontId="10" fillId="0" borderId="0" applyAlignment="1" pivotButton="0" quotePrefix="0" xfId="0">
      <alignment horizontal="center"/>
    </xf>
    <xf numFmtId="169" fontId="6" fillId="0" borderId="9" applyAlignment="1" pivotButton="0" quotePrefix="0" xfId="2">
      <alignment horizontal="right"/>
    </xf>
    <xf numFmtId="175" fontId="18" fillId="0" borderId="0" pivotButton="0" quotePrefix="0" xfId="0"/>
    <xf numFmtId="175" fontId="7" fillId="0" borderId="0" pivotButton="0" quotePrefix="0" xfId="1"/>
    <xf numFmtId="188" fontId="0" fillId="0" borderId="0" pivotButton="0" quotePrefix="0" xfId="0"/>
    <xf numFmtId="189" fontId="0" fillId="0" borderId="0" pivotButton="0" quotePrefix="0" xfId="0"/>
    <xf numFmtId="177" fontId="15" fillId="0" borderId="24" applyAlignment="1" pivotButton="0" quotePrefix="0" xfId="0">
      <alignment horizontal="left"/>
    </xf>
    <xf numFmtId="177" fontId="15" fillId="0" borderId="9" applyAlignment="1" pivotButton="0" quotePrefix="0" xfId="0">
      <alignment horizontal="left"/>
    </xf>
    <xf numFmtId="2" fontId="9" fillId="8" borderId="0" pivotButton="0" quotePrefix="0" xfId="1"/>
    <xf numFmtId="2" fontId="0" fillId="8" borderId="0" pivotButton="0" quotePrefix="0" xfId="0"/>
  </cellXfs>
  <cellStyles count="5">
    <cellStyle name="Normal" xfId="0" builtinId="0"/>
    <cellStyle name="Comma" xfId="1" builtinId="3"/>
    <cellStyle name="Percent" xfId="2" builtinId="5"/>
    <cellStyle name="Percent 2" xfId="3"/>
    <cellStyle name="Comma 2" xfId="4"/>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4"/>
    <outlinePr summaryBelow="1" summaryRight="1"/>
    <pageSetUpPr/>
  </sheetPr>
  <dimension ref="A2:J41"/>
  <sheetViews>
    <sheetView zoomScale="87" workbookViewId="0">
      <pane ySplit="3" topLeftCell="A4" activePane="bottomLeft" state="frozen"/>
      <selection pane="bottomLeft" activeCell="D100" sqref="D100"/>
    </sheetView>
  </sheetViews>
  <sheetFormatPr baseColWidth="8" defaultRowHeight="15.5"/>
  <cols>
    <col width="7.26953125" bestFit="1" customWidth="1" style="221" min="1" max="1"/>
    <col width="36.7265625" customWidth="1" style="221" min="2" max="2"/>
    <col width="34.6328125" customWidth="1" style="221" min="3" max="3"/>
    <col width="34.7265625" bestFit="1" customWidth="1" style="221" min="4" max="5"/>
    <col width="23.08984375" customWidth="1" style="221" min="6" max="6"/>
    <col width="43.1796875" bestFit="1" customWidth="1" style="221" min="7" max="7"/>
    <col width="8.7265625" customWidth="1" style="221" min="8" max="8"/>
    <col width="8.7265625" customWidth="1" style="221" min="9" max="16384"/>
  </cols>
  <sheetData>
    <row r="1" ht="7" customHeight="1" s="581" thickBot="1"/>
    <row r="2" ht="21.5" customHeight="1" s="581" thickBot="1">
      <c r="C2" s="552" t="inlineStr">
        <is>
          <t>Agent Classification*</t>
        </is>
      </c>
      <c r="D2" s="553" t="n"/>
      <c r="E2" s="554" t="n"/>
    </row>
    <row r="3" ht="16" customFormat="1" customHeight="1" s="222" thickBot="1">
      <c r="B3" s="240" t="inlineStr">
        <is>
          <t>Transaction Type</t>
        </is>
      </c>
      <c r="C3" s="254" t="inlineStr">
        <is>
          <t>Silver</t>
        </is>
      </c>
      <c r="D3" s="255" t="inlineStr">
        <is>
          <t>Gold</t>
        </is>
      </c>
      <c r="E3" s="256" t="inlineStr">
        <is>
          <t>Platinum</t>
        </is>
      </c>
    </row>
    <row r="4" ht="36.5" customHeight="1" s="581">
      <c r="B4" s="257" t="inlineStr">
        <is>
          <t>Monthly Transaction Range
(Based on Successful Card Withdrawals)</t>
        </is>
      </c>
      <c r="C4" s="237" t="inlineStr">
        <is>
          <t>1 - 199</t>
        </is>
      </c>
      <c r="D4" s="238" t="inlineStr">
        <is>
          <t>200 - 499</t>
        </is>
      </c>
      <c r="E4" s="239" t="inlineStr">
        <is>
          <t>500 &amp; above</t>
        </is>
      </c>
    </row>
    <row r="5">
      <c r="B5" s="232" t="inlineStr">
        <is>
          <t>Wallet Funding (Pay with Transfer)</t>
        </is>
      </c>
      <c r="C5" s="234" t="inlineStr">
        <is>
          <t>WAIVED</t>
        </is>
      </c>
      <c r="D5" s="223" t="inlineStr">
        <is>
          <t>WAIVED</t>
        </is>
      </c>
      <c r="E5" s="226" t="inlineStr">
        <is>
          <t>WAIVED</t>
        </is>
      </c>
    </row>
    <row r="6">
      <c r="B6" s="232" t="inlineStr">
        <is>
          <t xml:space="preserve">Default Withdrawal Fee </t>
        </is>
      </c>
      <c r="C6" s="234" t="inlineStr">
        <is>
          <t>0.5% (capped at N100)</t>
        </is>
      </c>
      <c r="D6" s="223" t="inlineStr">
        <is>
          <t>0.5% (capped at N100)</t>
        </is>
      </c>
      <c r="E6" s="226" t="inlineStr">
        <is>
          <t>0.5% (capped at N100)</t>
        </is>
      </c>
    </row>
    <row r="7">
      <c r="B7" s="232" t="inlineStr">
        <is>
          <t>Cashback on Withdrawal Fee</t>
        </is>
      </c>
      <c r="C7" s="235" t="n">
        <v>0</v>
      </c>
      <c r="D7" s="224" t="n">
        <v>0.1</v>
      </c>
      <c r="E7" s="227" t="n">
        <v>0.2</v>
      </c>
    </row>
    <row r="8">
      <c r="B8" s="232" t="inlineStr">
        <is>
          <t>Default Deposit/Transfer</t>
        </is>
      </c>
      <c r="C8" s="626" t="n">
        <v>20</v>
      </c>
      <c r="D8" s="627" t="n">
        <v>20</v>
      </c>
      <c r="E8" s="628" t="n">
        <v>20</v>
      </c>
    </row>
    <row r="9">
      <c r="B9" s="232" t="inlineStr">
        <is>
          <t>Cashback on Deposit/Transfer Fee</t>
        </is>
      </c>
      <c r="C9" s="235" t="n">
        <v>0</v>
      </c>
      <c r="D9" s="224" t="n">
        <v>0.1</v>
      </c>
      <c r="E9" s="227" t="n">
        <v>0.2</v>
      </c>
    </row>
    <row r="10">
      <c r="B10" s="232" t="inlineStr">
        <is>
          <t>Cashback on Airtime/Data Face Value</t>
        </is>
      </c>
      <c r="C10" s="234" t="inlineStr">
        <is>
          <t>2% to 5% (see details below)</t>
        </is>
      </c>
      <c r="D10" s="223" t="inlineStr">
        <is>
          <t>2% to 5% (see details below)</t>
        </is>
      </c>
      <c r="E10" s="226" t="inlineStr">
        <is>
          <t>2% to 5% (see details below)</t>
        </is>
      </c>
    </row>
    <row r="11">
      <c r="B11" s="232" t="inlineStr">
        <is>
          <t>Comm. On Bills Payment</t>
        </is>
      </c>
      <c r="C11" s="234" t="inlineStr">
        <is>
          <t>25% of comm. due to 9PSB</t>
        </is>
      </c>
      <c r="D11" s="223" t="inlineStr">
        <is>
          <t>25% of comm. due to 9PSB</t>
        </is>
      </c>
      <c r="E11" s="226" t="inlineStr">
        <is>
          <t>25% of comm. due to 9PSB</t>
        </is>
      </c>
    </row>
    <row r="12" hidden="1" s="581">
      <c r="B12" s="232" t="inlineStr">
        <is>
          <t>Check Balance</t>
        </is>
      </c>
      <c r="C12" s="234" t="inlineStr">
        <is>
          <t>WAIVED</t>
        </is>
      </c>
      <c r="D12" s="223" t="inlineStr">
        <is>
          <t>WAIVED</t>
        </is>
      </c>
      <c r="E12" s="226" t="inlineStr">
        <is>
          <t>WAIVED</t>
        </is>
      </c>
    </row>
    <row r="13" ht="16" customHeight="1" s="581" thickBot="1">
      <c r="B13" s="233" t="inlineStr">
        <is>
          <t>EMTL (Stamp Duty) Charge</t>
        </is>
      </c>
      <c r="C13" s="229" t="inlineStr">
        <is>
          <t>N50 on Transfers of N10,000 &amp; Above</t>
        </is>
      </c>
      <c r="D13" s="230" t="inlineStr">
        <is>
          <t>N50 on Transfers of N10,000 &amp; Above</t>
        </is>
      </c>
      <c r="E13" s="231" t="inlineStr">
        <is>
          <t>N50 on Transfers of N10,000 &amp; Above</t>
        </is>
      </c>
    </row>
    <row r="14">
      <c r="B14" s="560" t="inlineStr">
        <is>
          <t>* Agent classification will be dynamically updated at the beginning of each new month based on the previous month transaction range</t>
        </is>
      </c>
      <c r="C14" s="553" t="n"/>
      <c r="D14" s="553" t="n"/>
      <c r="E14" s="553" t="n"/>
    </row>
    <row r="15" ht="16" customHeight="1" s="581" thickBot="1"/>
    <row r="16" ht="16" customHeight="1" s="581" thickBot="1">
      <c r="B16" s="555" t="inlineStr">
        <is>
          <t>NEW AGENT BANKING PRICING STRUCTURE (Note: ISW as the Card Switch)</t>
        </is>
      </c>
      <c r="C16" s="556" t="n"/>
      <c r="D16" s="556" t="n"/>
      <c r="E16" s="556" t="n"/>
      <c r="F16" s="556" t="n"/>
      <c r="G16" s="557" t="n"/>
    </row>
    <row r="17" ht="15" customFormat="1" customHeight="1" s="10" thickBot="1">
      <c r="B17" s="248" t="inlineStr">
        <is>
          <t>Service</t>
        </is>
      </c>
      <c r="C17" s="249" t="inlineStr">
        <is>
          <t>Total Charge (VAT Inclusive)</t>
        </is>
      </c>
      <c r="D17" s="250" t="inlineStr">
        <is>
          <t>Charged to</t>
        </is>
      </c>
      <c r="E17" s="251" t="inlineStr">
        <is>
          <t>Switch (ISW/NIP) VAT Incl.</t>
        </is>
      </c>
      <c r="F17" s="252" t="inlineStr">
        <is>
          <t>SLP*** (VAT Incl.)</t>
        </is>
      </c>
      <c r="G17" s="253" t="inlineStr">
        <is>
          <t>9PSB (VAT Incl.)</t>
        </is>
      </c>
      <c r="J17" s="167" t="n"/>
    </row>
    <row r="18" ht="14" customFormat="1" customHeight="1" s="126">
      <c r="B18" s="127" t="inlineStr">
        <is>
          <t>Cashout</t>
        </is>
      </c>
      <c r="C18" s="128" t="inlineStr">
        <is>
          <t>0.5% capped at N100</t>
        </is>
      </c>
      <c r="D18" s="241" t="inlineStr">
        <is>
          <t>Agent</t>
        </is>
      </c>
      <c r="E18" s="547" t="inlineStr">
        <is>
          <t>0.3225% capped at N21.50</t>
        </is>
      </c>
      <c r="F18" s="133" t="inlineStr">
        <is>
          <t>0.04% capped at N25</t>
        </is>
      </c>
      <c r="G18" s="548" t="inlineStr">
        <is>
          <t>0.1375% (less applicable cashback due to Agents)</t>
        </is>
      </c>
      <c r="J18" s="166" t="n"/>
    </row>
    <row r="19" ht="14.5" customFormat="1" customHeight="1" s="126">
      <c r="B19" s="130" t="inlineStr">
        <is>
          <t>Transfer &amp; Deposit</t>
        </is>
      </c>
      <c r="C19" s="629" t="n">
        <v>20</v>
      </c>
      <c r="D19" s="630" t="inlineStr">
        <is>
          <t>Agent</t>
        </is>
      </c>
      <c r="E19" s="631" t="n">
        <v>2.15</v>
      </c>
      <c r="F19" s="632" t="n">
        <v>4</v>
      </c>
      <c r="G19" s="629" t="inlineStr">
        <is>
          <t>N13.85 (less applicable cashback due to agents)</t>
        </is>
      </c>
      <c r="J19" s="168" t="n"/>
    </row>
    <row r="20" ht="14.5" customFormat="1" customHeight="1" s="126">
      <c r="B20" s="131" t="inlineStr">
        <is>
          <t>Comm. on Bills Payment</t>
        </is>
      </c>
      <c r="C20" s="132" t="inlineStr">
        <is>
          <t>Comm. To be deducted from face value</t>
        </is>
      </c>
      <c r="D20" s="242" t="inlineStr">
        <is>
          <t xml:space="preserve">To be taken from VAS commissions </t>
        </is>
      </c>
      <c r="E20" s="245" t="inlineStr">
        <is>
          <t>N/A</t>
        </is>
      </c>
      <c r="F20" s="133" t="inlineStr">
        <is>
          <t>N/A</t>
        </is>
      </c>
      <c r="G20" s="134" t="inlineStr">
        <is>
          <t>75% (Note:25% goes to Agents Comm. wallet)</t>
        </is>
      </c>
      <c r="J20" s="168" t="n"/>
    </row>
    <row r="21" ht="14.5" customFormat="1" customHeight="1" s="126">
      <c r="B21" s="217" t="inlineStr">
        <is>
          <t>Comm. On Airtime/Data*</t>
        </is>
      </c>
      <c r="C21" s="218" t="inlineStr">
        <is>
          <t>Comm. To be deducted from face value</t>
        </is>
      </c>
      <c r="D21" s="243" t="inlineStr">
        <is>
          <t xml:space="preserve">To be taken from VAS commissions </t>
        </is>
      </c>
      <c r="E21" s="246" t="inlineStr">
        <is>
          <t>N/A</t>
        </is>
      </c>
      <c r="F21" s="219" t="inlineStr">
        <is>
          <t>N/A</t>
        </is>
      </c>
      <c r="G21" s="220" t="inlineStr">
        <is>
          <t>100% (less cashback due to Agents)</t>
        </is>
      </c>
    </row>
    <row r="22" ht="29.5" customFormat="1" customHeight="1" s="126" thickBot="1">
      <c r="B22" s="154" t="inlineStr">
        <is>
          <t>Account Opening
(Commission to be paid to Agents)**</t>
        </is>
      </c>
      <c r="C22" s="633" t="n">
        <v>1000</v>
      </c>
      <c r="D22" s="634" t="inlineStr">
        <is>
          <t>9PSB</t>
        </is>
      </c>
      <c r="E22" s="247" t="inlineStr">
        <is>
          <t>N/A</t>
        </is>
      </c>
      <c r="F22" s="635" t="n">
        <v>200</v>
      </c>
      <c r="G22" s="155" t="inlineStr">
        <is>
          <t>N/A</t>
        </is>
      </c>
    </row>
    <row r="23" ht="14.5" customFormat="1" customHeight="1" s="126">
      <c r="B23" s="558" t="inlineStr">
        <is>
          <t>*** Where there is no SLP mapped to the Agent, the commission goes to the Bank</t>
        </is>
      </c>
      <c r="C23" s="559" t="n"/>
      <c r="D23" s="559" t="n"/>
      <c r="E23" s="559" t="n"/>
      <c r="F23" s="559" t="n"/>
    </row>
    <row r="25" hidden="1" ht="16" customHeight="1" s="581" thickBot="1">
      <c r="B25" s="555" t="inlineStr">
        <is>
          <t>NEW AGENT BANKING PRICING STRUCTURE (Note: Zone as the Card Switch)</t>
        </is>
      </c>
      <c r="C25" s="556" t="n"/>
      <c r="D25" s="556" t="n"/>
      <c r="E25" s="556" t="n"/>
      <c r="F25" s="556" t="n"/>
      <c r="G25" s="557" t="n"/>
    </row>
    <row r="26" hidden="1" ht="15" customFormat="1" customHeight="1" s="10" thickBot="1">
      <c r="B26" s="248" t="inlineStr">
        <is>
          <t>Service</t>
        </is>
      </c>
      <c r="C26" s="249" t="inlineStr">
        <is>
          <t>Total Charge (VAT Inclusive)</t>
        </is>
      </c>
      <c r="D26" s="250" t="inlineStr">
        <is>
          <t>Charged to</t>
        </is>
      </c>
      <c r="E26" s="251" t="inlineStr">
        <is>
          <t>Switch (Zone/NIP) VAT Incl.</t>
        </is>
      </c>
      <c r="F26" s="252" t="inlineStr">
        <is>
          <t>SLP*** (VAT Incl.)</t>
        </is>
      </c>
      <c r="G26" s="253" t="inlineStr">
        <is>
          <t>9PSB (VAT Incl.)</t>
        </is>
      </c>
      <c r="J26" s="167" t="n"/>
    </row>
    <row r="27" hidden="1" ht="14.5" customFormat="1" customHeight="1" s="126">
      <c r="B27" s="127" t="inlineStr">
        <is>
          <t>Cashout</t>
        </is>
      </c>
      <c r="C27" s="128" t="inlineStr">
        <is>
          <t>0.5% capped at N100</t>
        </is>
      </c>
      <c r="D27" s="241" t="inlineStr">
        <is>
          <t>Agent</t>
        </is>
      </c>
      <c r="E27" s="244" t="inlineStr">
        <is>
          <t>0.26875% capped at N12.90</t>
        </is>
      </c>
      <c r="F27" s="133" t="inlineStr">
        <is>
          <t>0.04% capped at N25</t>
        </is>
      </c>
      <c r="G27" s="129" t="inlineStr">
        <is>
          <t>0.19125% (less applicable cashback due to Agents)</t>
        </is>
      </c>
      <c r="J27" s="166" t="n"/>
    </row>
    <row r="28" hidden="1" ht="14.5" customFormat="1" customHeight="1" s="126">
      <c r="B28" s="130" t="inlineStr">
        <is>
          <t>Transfer &amp; Deposit</t>
        </is>
      </c>
      <c r="C28" s="629" t="n">
        <v>20</v>
      </c>
      <c r="D28" s="630" t="inlineStr">
        <is>
          <t>Agent</t>
        </is>
      </c>
      <c r="E28" s="631" t="n">
        <v>4.03</v>
      </c>
      <c r="F28" s="632" t="n">
        <v>4</v>
      </c>
      <c r="G28" s="629" t="inlineStr">
        <is>
          <t>N11.97 (less applicable cashback due to agents)</t>
        </is>
      </c>
      <c r="J28" s="168" t="n"/>
    </row>
    <row r="29" hidden="1" ht="14.5" customFormat="1" customHeight="1" s="126">
      <c r="B29" s="131" t="inlineStr">
        <is>
          <t>Comm. on Bills Payment</t>
        </is>
      </c>
      <c r="C29" s="132" t="inlineStr">
        <is>
          <t>Comm. To be deducted from face value</t>
        </is>
      </c>
      <c r="D29" s="242" t="inlineStr">
        <is>
          <t xml:space="preserve">To be taken from VAS commissions </t>
        </is>
      </c>
      <c r="E29" s="245" t="inlineStr">
        <is>
          <t>N/A</t>
        </is>
      </c>
      <c r="F29" s="133" t="inlineStr">
        <is>
          <t>N/A</t>
        </is>
      </c>
      <c r="G29" s="134" t="inlineStr">
        <is>
          <t>75% (Note:25% goes to Agents Comm. wallet)</t>
        </is>
      </c>
      <c r="J29" s="168" t="n"/>
    </row>
    <row r="30" hidden="1" ht="14.5" customFormat="1" customHeight="1" s="126">
      <c r="B30" s="217" t="inlineStr">
        <is>
          <t>Comm. On Airtime/Data*</t>
        </is>
      </c>
      <c r="C30" s="218" t="inlineStr">
        <is>
          <t>Comm. To be deducted from face value</t>
        </is>
      </c>
      <c r="D30" s="243" t="inlineStr">
        <is>
          <t xml:space="preserve">To be taken from VAS commissions </t>
        </is>
      </c>
      <c r="E30" s="246" t="inlineStr">
        <is>
          <t>N/A</t>
        </is>
      </c>
      <c r="F30" s="219" t="inlineStr">
        <is>
          <t>N/A</t>
        </is>
      </c>
      <c r="G30" s="220" t="inlineStr">
        <is>
          <t>100% (less cashback due to Agents)</t>
        </is>
      </c>
    </row>
    <row r="31" hidden="1" ht="29.5" customFormat="1" customHeight="1" s="126" thickBot="1">
      <c r="B31" s="154" t="inlineStr">
        <is>
          <t>Account Opening
(Commission to be paid to Agents)**</t>
        </is>
      </c>
      <c r="C31" s="633" t="n">
        <v>1000</v>
      </c>
      <c r="D31" s="634" t="inlineStr">
        <is>
          <t>9PSB</t>
        </is>
      </c>
      <c r="E31" s="247" t="inlineStr">
        <is>
          <t>N/A</t>
        </is>
      </c>
      <c r="F31" s="635" t="n">
        <v>200</v>
      </c>
      <c r="G31" s="155" t="inlineStr">
        <is>
          <t>N/A</t>
        </is>
      </c>
    </row>
    <row r="32" hidden="1" ht="14.5" customFormat="1" customHeight="1" s="126">
      <c r="B32" s="558" t="inlineStr">
        <is>
          <t>*** Where there is no SLP mapped to the Agent, the commission goes to the Bank</t>
        </is>
      </c>
      <c r="C32" s="559" t="n"/>
      <c r="D32" s="559" t="n"/>
      <c r="E32" s="559" t="n"/>
      <c r="F32" s="559" t="n"/>
    </row>
    <row r="33" ht="8" customHeight="1" s="581"/>
    <row r="34" ht="15" customHeight="1" s="581" thickBot="1">
      <c r="B34" s="171" t="inlineStr">
        <is>
          <t>*Agents will get commissions on Airtime/Data purchase which will be instantly credited into their Commissions wallets</t>
        </is>
      </c>
    </row>
    <row r="35" ht="15" customFormat="1" customHeight="1" s="169" thickBot="1">
      <c r="B35" s="178" t="inlineStr">
        <is>
          <t>Telco</t>
        </is>
      </c>
      <c r="C35" s="179" t="inlineStr">
        <is>
          <t>% Comm. on Face Value due to Agents*</t>
        </is>
      </c>
      <c r="E35" s="170" t="n"/>
      <c r="F35" s="170" t="n"/>
    </row>
    <row r="36" ht="14.5" customHeight="1" s="581">
      <c r="B36" s="176" t="inlineStr">
        <is>
          <t>MTN</t>
        </is>
      </c>
      <c r="C36" s="177" t="n">
        <v>0.02</v>
      </c>
    </row>
    <row r="37" ht="14.5" customHeight="1" s="581">
      <c r="B37" s="172" t="inlineStr">
        <is>
          <t>Airtel</t>
        </is>
      </c>
      <c r="C37" s="173" t="n">
        <v>0.02</v>
      </c>
    </row>
    <row r="38" ht="14.5" customHeight="1" s="581">
      <c r="B38" s="172" t="inlineStr">
        <is>
          <t>GLO</t>
        </is>
      </c>
      <c r="C38" s="173" t="n">
        <v>0.03</v>
      </c>
    </row>
    <row r="39" ht="15" customHeight="1" s="581" thickBot="1">
      <c r="B39" s="174" t="inlineStr">
        <is>
          <t>9Mobile</t>
        </is>
      </c>
      <c r="C39" s="175" t="n">
        <v>0.05</v>
      </c>
    </row>
    <row r="41" ht="13.5" customFormat="1" customHeight="1" s="563">
      <c r="A41" s="104" t="inlineStr">
        <is>
          <t>Note:</t>
        </is>
      </c>
      <c r="B41" s="190" t="inlineStr">
        <is>
          <t>Approved agent code is 6010 for agent banking activities</t>
        </is>
      </c>
    </row>
  </sheetData>
  <mergeCells count="6">
    <mergeCell ref="C2:E2"/>
    <mergeCell ref="B16:G16"/>
    <mergeCell ref="B23:F23"/>
    <mergeCell ref="B32:F32"/>
    <mergeCell ref="B25:G25"/>
    <mergeCell ref="B14:E14"/>
  </mergeCells>
  <pageMargins left="0.7" right="0.7" top="0.75" bottom="0.75" header="0.3" footer="0.3"/>
</worksheet>
</file>

<file path=xl/worksheets/sheet2.xml><?xml version="1.0" encoding="utf-8"?>
<worksheet xmlns="http://schemas.openxmlformats.org/spreadsheetml/2006/main">
  <sheetPr>
    <tabColor theme="5"/>
    <outlinePr summaryBelow="1" summaryRight="1"/>
    <pageSetUpPr/>
  </sheetPr>
  <dimension ref="C2:G32"/>
  <sheetViews>
    <sheetView topLeftCell="B17" zoomScale="115" zoomScaleNormal="115" workbookViewId="0">
      <selection activeCell="C12" sqref="C12:C28"/>
    </sheetView>
  </sheetViews>
  <sheetFormatPr baseColWidth="8" defaultRowHeight="15.5"/>
  <cols>
    <col width="8.7265625" customWidth="1" style="221" min="1" max="2"/>
    <col width="42.81640625" customWidth="1" style="221" min="3" max="3"/>
    <col width="19.81640625" customWidth="1" style="221" min="4" max="4"/>
    <col width="28.26953125" customWidth="1" style="221" min="5" max="5"/>
    <col width="29.453125" bestFit="1" customWidth="1" style="221" min="6" max="6"/>
    <col width="68" customWidth="1" style="221" min="7" max="7"/>
    <col width="8.7265625" customWidth="1" style="221" min="8" max="8"/>
    <col width="8.7265625" customWidth="1" style="221" min="9" max="16384"/>
  </cols>
  <sheetData>
    <row r="1" ht="10.5" customHeight="1" s="581" thickBot="1"/>
    <row r="2" ht="16" customFormat="1" customHeight="1" s="222" thickBot="1">
      <c r="C2" s="315" t="inlineStr">
        <is>
          <t>KYC Level</t>
        </is>
      </c>
      <c r="D2" s="316" t="inlineStr">
        <is>
          <t>Single Wallet Inflow</t>
        </is>
      </c>
      <c r="E2" s="317" t="inlineStr">
        <is>
          <t>Cummulative Wallet Balance</t>
        </is>
      </c>
      <c r="F2" s="317" t="inlineStr">
        <is>
          <t>Transaction Charge Model</t>
        </is>
      </c>
      <c r="G2" s="317" t="inlineStr">
        <is>
          <t>Remark</t>
        </is>
      </c>
    </row>
    <row r="3" ht="31" customHeight="1" s="581">
      <c r="C3" s="318" t="inlineStr">
        <is>
          <t>Tier 1</t>
        </is>
      </c>
      <c r="D3" s="636" t="n">
        <v>50000</v>
      </c>
      <c r="E3" s="637" t="n">
        <v>300000</v>
      </c>
      <c r="F3" s="637" t="inlineStr">
        <is>
          <t>Standard Charge for Individuals</t>
        </is>
      </c>
      <c r="G3" s="638" t="inlineStr">
        <is>
          <t>If single inflow or cummulative balance of higher value. Automatically move user to next Tier and prompt use to upgrade</t>
        </is>
      </c>
    </row>
    <row r="4" ht="31" customHeight="1" s="581">
      <c r="C4" s="322" t="inlineStr">
        <is>
          <t>Tier 2</t>
        </is>
      </c>
      <c r="D4" s="639" t="n">
        <v>200000</v>
      </c>
      <c r="E4" s="640" t="n">
        <v>500000</v>
      </c>
      <c r="F4" s="640" t="inlineStr">
        <is>
          <t>Standard Charge for Individuals</t>
        </is>
      </c>
      <c r="G4" s="641" t="inlineStr">
        <is>
          <t>If single inflow or cummulative balance of higher value. Automatically move user to next Tier and prompt use to upgrade</t>
        </is>
      </c>
    </row>
    <row r="5">
      <c r="C5" s="322" t="inlineStr">
        <is>
          <t>Tier 3</t>
        </is>
      </c>
      <c r="D5" s="639" t="n">
        <v>5000000</v>
      </c>
      <c r="E5" s="640" t="n">
        <v>9.99999999999999e+16</v>
      </c>
      <c r="F5" s="640" t="inlineStr">
        <is>
          <t>Standard Charge for Individuals</t>
        </is>
      </c>
      <c r="G5" s="640" t="n"/>
    </row>
    <row r="6">
      <c r="C6" s="326" t="inlineStr">
        <is>
          <t>Agent</t>
        </is>
      </c>
      <c r="D6" s="639" t="n">
        <v>5000000</v>
      </c>
      <c r="E6" s="640" t="n">
        <v>9.99999999999999e+16</v>
      </c>
      <c r="F6" s="642" t="inlineStr">
        <is>
          <t>Default Charge for Agents</t>
        </is>
      </c>
      <c r="G6" s="642" t="inlineStr">
        <is>
          <t>User can request and have PoS linked to Individual profile</t>
        </is>
      </c>
    </row>
    <row r="7" ht="31" customHeight="1" s="581">
      <c r="C7" s="322" t="inlineStr">
        <is>
          <t>Merchant</t>
        </is>
      </c>
      <c r="D7" s="639" t="n">
        <v>250000000</v>
      </c>
      <c r="E7" s="640" t="n">
        <v>9.99999999999999e+16</v>
      </c>
      <c r="F7" s="640" t="inlineStr">
        <is>
          <t>Default Charge for Merchants</t>
        </is>
      </c>
      <c r="G7" s="643" t="inlineStr">
        <is>
          <t>User will need to submit CAC documentation. After approval, the user can request and have PoS linked to Business profile.</t>
        </is>
      </c>
    </row>
    <row r="8" ht="16" customHeight="1" s="581" thickBot="1">
      <c r="C8" s="329" t="inlineStr">
        <is>
          <t>Aggregator (SLP)</t>
        </is>
      </c>
      <c r="D8" s="644" t="n">
        <v>250000000</v>
      </c>
      <c r="E8" s="645" t="n">
        <v>9.99999999999999e+16</v>
      </c>
      <c r="F8" s="645" t="inlineStr">
        <is>
          <t>Default Commissions for SLP</t>
        </is>
      </c>
      <c r="G8" s="645" t="n"/>
    </row>
    <row r="10" ht="16" customHeight="1" s="581" thickBot="1"/>
    <row r="11" ht="16" customHeight="1" s="581" thickBot="1">
      <c r="C11" s="315" t="inlineStr">
        <is>
          <t>Default Features/dashboard  on Mobile App</t>
        </is>
      </c>
      <c r="D11" s="332" t="inlineStr">
        <is>
          <t>Tier 1 - Tier 3</t>
        </is>
      </c>
      <c r="E11" s="348" t="inlineStr">
        <is>
          <t>Agent</t>
        </is>
      </c>
      <c r="F11" s="332" t="inlineStr">
        <is>
          <t>Merchant</t>
        </is>
      </c>
      <c r="G11" s="333" t="inlineStr">
        <is>
          <t>SLP</t>
        </is>
      </c>
    </row>
    <row r="12">
      <c r="C12" s="334" t="inlineStr">
        <is>
          <t>Wallet Balance</t>
        </is>
      </c>
      <c r="D12" s="335" t="inlineStr">
        <is>
          <t>Yes</t>
        </is>
      </c>
      <c r="E12" s="349" t="inlineStr">
        <is>
          <t>Yes</t>
        </is>
      </c>
      <c r="F12" s="335" t="inlineStr">
        <is>
          <t>Yes</t>
        </is>
      </c>
      <c r="G12" s="336" t="inlineStr">
        <is>
          <t>Yes</t>
        </is>
      </c>
    </row>
    <row r="13">
      <c r="C13" s="322" t="inlineStr">
        <is>
          <t>Transaction History (with Lazy loading)</t>
        </is>
      </c>
      <c r="D13" s="337" t="inlineStr">
        <is>
          <t>Yes</t>
        </is>
      </c>
      <c r="E13" s="350" t="inlineStr">
        <is>
          <t>Yes</t>
        </is>
      </c>
      <c r="F13" s="337" t="inlineStr">
        <is>
          <t>Yes</t>
        </is>
      </c>
      <c r="G13" s="338" t="inlineStr">
        <is>
          <t>Yes</t>
        </is>
      </c>
    </row>
    <row r="14">
      <c r="C14" s="318" t="inlineStr">
        <is>
          <t>PoS Card Withdrawal/Cashout</t>
        </is>
      </c>
      <c r="D14" s="339" t="inlineStr">
        <is>
          <t>No</t>
        </is>
      </c>
      <c r="E14" s="351" t="inlineStr">
        <is>
          <t>Yes</t>
        </is>
      </c>
      <c r="F14" s="339" t="inlineStr">
        <is>
          <t>No</t>
        </is>
      </c>
      <c r="G14" s="340" t="inlineStr">
        <is>
          <t>No</t>
        </is>
      </c>
    </row>
    <row r="15">
      <c r="C15" s="322" t="inlineStr">
        <is>
          <t>PoS Card Payment</t>
        </is>
      </c>
      <c r="D15" s="337" t="inlineStr">
        <is>
          <t>No</t>
        </is>
      </c>
      <c r="E15" s="350" t="inlineStr">
        <is>
          <t>No</t>
        </is>
      </c>
      <c r="F15" s="337" t="inlineStr">
        <is>
          <t>Yes</t>
        </is>
      </c>
      <c r="G15" s="338" t="inlineStr">
        <is>
          <t>No</t>
        </is>
      </c>
    </row>
    <row r="16">
      <c r="C16" s="322" t="inlineStr">
        <is>
          <t>Assign a PoS to an Agent/Merchant</t>
        </is>
      </c>
      <c r="D16" s="337" t="inlineStr">
        <is>
          <t>No</t>
        </is>
      </c>
      <c r="E16" s="350" t="inlineStr">
        <is>
          <t>No</t>
        </is>
      </c>
      <c r="F16" s="337" t="inlineStr">
        <is>
          <t>No</t>
        </is>
      </c>
      <c r="G16" s="338" t="inlineStr">
        <is>
          <t>Yes</t>
        </is>
      </c>
    </row>
    <row r="17">
      <c r="C17" s="322" t="inlineStr">
        <is>
          <t>Wallet Funding</t>
        </is>
      </c>
      <c r="D17" s="337" t="inlineStr">
        <is>
          <t>Yes</t>
        </is>
      </c>
      <c r="E17" s="350" t="inlineStr">
        <is>
          <t>Yes</t>
        </is>
      </c>
      <c r="F17" s="337" t="inlineStr">
        <is>
          <t>Yes</t>
        </is>
      </c>
      <c r="G17" s="338" t="inlineStr">
        <is>
          <t>Yes</t>
        </is>
      </c>
    </row>
    <row r="18">
      <c r="C18" s="322" t="inlineStr">
        <is>
          <t>Transfers (Intrabank/within 9PSB)</t>
        </is>
      </c>
      <c r="D18" s="337" t="inlineStr">
        <is>
          <t>Yes</t>
        </is>
      </c>
      <c r="E18" s="350" t="inlineStr">
        <is>
          <t>Yes</t>
        </is>
      </c>
      <c r="F18" s="337" t="inlineStr">
        <is>
          <t>Yes**</t>
        </is>
      </c>
      <c r="G18" s="338" t="inlineStr">
        <is>
          <t>Yes</t>
        </is>
      </c>
    </row>
    <row r="19">
      <c r="C19" s="322" t="inlineStr">
        <is>
          <t>Transfers (Interbank)</t>
        </is>
      </c>
      <c r="D19" s="337" t="inlineStr">
        <is>
          <t>Yes</t>
        </is>
      </c>
      <c r="E19" s="350" t="inlineStr">
        <is>
          <t>Yes</t>
        </is>
      </c>
      <c r="F19" s="337" t="inlineStr">
        <is>
          <t>Yes**</t>
        </is>
      </c>
      <c r="G19" s="338" t="inlineStr">
        <is>
          <t>Yes</t>
        </is>
      </c>
    </row>
    <row r="20">
      <c r="C20" s="322" t="inlineStr">
        <is>
          <t>Airtime/Data</t>
        </is>
      </c>
      <c r="D20" s="337" t="inlineStr">
        <is>
          <t>Yes</t>
        </is>
      </c>
      <c r="E20" s="350" t="inlineStr">
        <is>
          <t>Yes</t>
        </is>
      </c>
      <c r="F20" s="337" t="inlineStr">
        <is>
          <t>Yes**</t>
        </is>
      </c>
      <c r="G20" s="338" t="inlineStr">
        <is>
          <t>Yes</t>
        </is>
      </c>
    </row>
    <row r="21">
      <c r="C21" s="322" t="inlineStr">
        <is>
          <t>Bills Payment</t>
        </is>
      </c>
      <c r="D21" s="337" t="inlineStr">
        <is>
          <t>Yes</t>
        </is>
      </c>
      <c r="E21" s="350" t="inlineStr">
        <is>
          <t>Yes</t>
        </is>
      </c>
      <c r="F21" s="337" t="inlineStr">
        <is>
          <t>Yes**</t>
        </is>
      </c>
      <c r="G21" s="338" t="inlineStr">
        <is>
          <t>Yes</t>
        </is>
      </c>
    </row>
    <row r="22">
      <c r="C22" s="322" t="inlineStr">
        <is>
          <t>Card Transfer</t>
        </is>
      </c>
      <c r="D22" s="337" t="inlineStr">
        <is>
          <t>No</t>
        </is>
      </c>
      <c r="E22" s="350" t="inlineStr">
        <is>
          <t>Yes</t>
        </is>
      </c>
      <c r="F22" s="337" t="inlineStr">
        <is>
          <t>No</t>
        </is>
      </c>
      <c r="G22" s="338" t="n"/>
    </row>
    <row r="23">
      <c r="C23" s="322" t="inlineStr">
        <is>
          <t>Card/Pay with Transfer - Settlement (Instant)</t>
        </is>
      </c>
      <c r="D23" s="337" t="inlineStr">
        <is>
          <t>No</t>
        </is>
      </c>
      <c r="E23" s="350" t="inlineStr">
        <is>
          <t>Yes</t>
        </is>
      </c>
      <c r="F23" s="337" t="inlineStr">
        <is>
          <t>Yes</t>
        </is>
      </c>
      <c r="G23" s="338" t="inlineStr">
        <is>
          <t>N/A</t>
        </is>
      </c>
    </row>
    <row r="24">
      <c r="C24" s="322" t="inlineStr">
        <is>
          <t>Card/Pay with Transfer - Settlement (T+1)*</t>
        </is>
      </c>
      <c r="D24" s="337" t="inlineStr">
        <is>
          <t>No</t>
        </is>
      </c>
      <c r="E24" s="350" t="inlineStr">
        <is>
          <t>No</t>
        </is>
      </c>
      <c r="F24" s="337" t="inlineStr">
        <is>
          <t>Yes</t>
        </is>
      </c>
      <c r="G24" s="338" t="inlineStr">
        <is>
          <t>N/A</t>
        </is>
      </c>
    </row>
    <row r="25">
      <c r="C25" s="322" t="inlineStr">
        <is>
          <t>Commission Wallet</t>
        </is>
      </c>
      <c r="D25" s="337" t="inlineStr">
        <is>
          <t>Yes</t>
        </is>
      </c>
      <c r="E25" s="350" t="inlineStr">
        <is>
          <t>Yes</t>
        </is>
      </c>
      <c r="F25" s="337" t="inlineStr">
        <is>
          <t>Yes</t>
        </is>
      </c>
      <c r="G25" s="338" t="inlineStr">
        <is>
          <t>Yes</t>
        </is>
      </c>
    </row>
    <row r="26">
      <c r="C26" s="322" t="inlineStr">
        <is>
          <t>Can be a referrer</t>
        </is>
      </c>
      <c r="D26" s="337" t="inlineStr">
        <is>
          <t>Yes</t>
        </is>
      </c>
      <c r="E26" s="350" t="inlineStr">
        <is>
          <t>Yes</t>
        </is>
      </c>
      <c r="F26" s="337" t="inlineStr">
        <is>
          <t>Yes</t>
        </is>
      </c>
      <c r="G26" s="338" t="inlineStr">
        <is>
          <t>Yes</t>
        </is>
      </c>
    </row>
    <row r="27">
      <c r="C27" s="326" t="inlineStr">
        <is>
          <t>EOD</t>
        </is>
      </c>
      <c r="D27" s="341" t="inlineStr">
        <is>
          <t>No</t>
        </is>
      </c>
      <c r="E27" s="352" t="inlineStr">
        <is>
          <t>Yes</t>
        </is>
      </c>
      <c r="F27" s="341" t="inlineStr">
        <is>
          <t>Yes</t>
        </is>
      </c>
      <c r="G27" s="342" t="inlineStr">
        <is>
          <t>No</t>
        </is>
      </c>
    </row>
    <row r="28" ht="16" customHeight="1" s="581" thickBot="1">
      <c r="C28" s="343" t="inlineStr">
        <is>
          <t>Cashback Rewards (on Airtime/Data)</t>
        </is>
      </c>
      <c r="D28" s="344" t="inlineStr">
        <is>
          <t>Yes</t>
        </is>
      </c>
      <c r="E28" s="353" t="inlineStr">
        <is>
          <t>Yes</t>
        </is>
      </c>
      <c r="F28" s="344" t="inlineStr">
        <is>
          <t>Yes</t>
        </is>
      </c>
      <c r="G28" s="345" t="inlineStr">
        <is>
          <t>Yes</t>
        </is>
      </c>
    </row>
    <row r="29" ht="10.5" customHeight="1" s="581">
      <c r="D29" s="346" t="n"/>
      <c r="E29" s="346" t="n"/>
      <c r="F29" s="346" t="n"/>
      <c r="G29" s="346" t="n"/>
    </row>
    <row r="30">
      <c r="C30" s="347" t="inlineStr">
        <is>
          <t>*Merchants who are profiled for T+1 should have their settlement automated. Note: Their settlement bank can be in 9PSB or any other Bank. Interbank charges will apply to their settlement processing where the settlement bank is not in 9PSB</t>
        </is>
      </c>
      <c r="D30" s="346" t="n"/>
      <c r="E30" s="346" t="n"/>
      <c r="F30" s="346" t="n"/>
      <c r="G30" s="346" t="n"/>
    </row>
    <row r="31">
      <c r="C31" s="347" t="inlineStr">
        <is>
          <t>** The menus should be configurably flexible from the Admin end, because not all Merchants want to have these menu</t>
        </is>
      </c>
      <c r="D31" s="346" t="n"/>
      <c r="E31" s="346" t="n"/>
      <c r="F31" s="346" t="n"/>
      <c r="G31" s="346" t="n"/>
    </row>
    <row r="32">
      <c r="D32" s="346" t="n"/>
      <c r="E32" s="346" t="n"/>
      <c r="F32" s="346" t="n"/>
      <c r="G32" s="346" t="n"/>
    </row>
  </sheetData>
  <pageMargins left="0.7" right="0.7" top="0.75" bottom="0.75" header="0.3" footer="0.3"/>
</worksheet>
</file>

<file path=xl/worksheets/sheet3.xml><?xml version="1.0" encoding="utf-8"?>
<worksheet xmlns="http://schemas.openxmlformats.org/spreadsheetml/2006/main">
  <sheetPr>
    <tabColor theme="4"/>
    <outlinePr summaryBelow="1" summaryRight="1"/>
    <pageSetUpPr fitToPage="1"/>
  </sheetPr>
  <dimension ref="A2:C28"/>
  <sheetViews>
    <sheetView topLeftCell="A13" workbookViewId="0">
      <selection activeCell="B25" sqref="B25:C25"/>
    </sheetView>
  </sheetViews>
  <sheetFormatPr baseColWidth="8" defaultRowHeight="13.5"/>
  <cols>
    <col width="4.36328125" customWidth="1" style="563" min="1" max="1"/>
    <col width="75.7265625" customWidth="1" style="563" min="2" max="2"/>
    <col width="27.26953125" customWidth="1" style="563" min="3" max="3"/>
    <col width="8.7265625" customWidth="1" style="563" min="4" max="4"/>
    <col width="8.7265625" customWidth="1" style="563" min="5" max="16384"/>
  </cols>
  <sheetData>
    <row r="2" ht="14.5" customHeight="1" s="581" thickBot="1">
      <c r="A2" s="143" t="n">
        <v>1</v>
      </c>
      <c r="B2" s="180" t="inlineStr">
        <is>
          <t>Cashout/Withdrawal Limits</t>
        </is>
      </c>
    </row>
    <row r="3" ht="14.15" customFormat="1" customHeight="1" s="2" thickBot="1">
      <c r="B3" s="6" t="inlineStr">
        <is>
          <t>Transaction Type</t>
        </is>
      </c>
      <c r="C3" s="7" t="inlineStr">
        <is>
          <t>Value</t>
        </is>
      </c>
    </row>
    <row r="4" ht="14.15" customHeight="1" s="581">
      <c r="B4" s="181" t="inlineStr">
        <is>
          <t>Minimum Cashout/Withdrawal Limit Per User</t>
        </is>
      </c>
      <c r="C4" s="646" t="n">
        <v>100</v>
      </c>
    </row>
    <row r="5">
      <c r="B5" s="5" t="inlineStr">
        <is>
          <t>Daily Maximum Cashout/Withdrawal Limit Per User</t>
        </is>
      </c>
      <c r="C5" s="647" t="n">
        <v>100000</v>
      </c>
    </row>
    <row r="6" ht="14" customHeight="1" s="581" thickBot="1">
      <c r="B6" s="4" t="inlineStr">
        <is>
          <t>Daily Cumulative Cashout/Withdrawal Limit Per Agent</t>
        </is>
      </c>
      <c r="C6" s="648" t="n">
        <v>1200000</v>
      </c>
    </row>
    <row r="7" ht="5.15" customHeight="1" s="581"/>
    <row r="9" ht="14.5" customHeight="1" s="581" thickBot="1">
      <c r="A9" s="143" t="n">
        <v>2</v>
      </c>
      <c r="B9" s="180" t="inlineStr">
        <is>
          <t>Airtime/Data/Bills Payment Limit</t>
        </is>
      </c>
    </row>
    <row r="10" ht="14.15" customFormat="1" customHeight="1" s="2" thickBot="1">
      <c r="B10" s="6" t="inlineStr">
        <is>
          <t>Transaction Type</t>
        </is>
      </c>
      <c r="C10" s="7" t="inlineStr">
        <is>
          <t>Value</t>
        </is>
      </c>
    </row>
    <row r="11" ht="14.15" customHeight="1" s="581">
      <c r="B11" s="5" t="inlineStr">
        <is>
          <t>Minimum Amount for Airtime</t>
        </is>
      </c>
      <c r="C11" s="647" t="n">
        <v>50</v>
      </c>
    </row>
    <row r="12">
      <c r="B12" s="3" t="inlineStr">
        <is>
          <t>Maximum Amount for Airtime</t>
        </is>
      </c>
      <c r="C12" s="649" t="n">
        <v>20000</v>
      </c>
    </row>
    <row r="13" ht="14.15" customHeight="1" s="581">
      <c r="B13" s="3" t="inlineStr">
        <is>
          <t>Minimum Amount for Data</t>
        </is>
      </c>
      <c r="C13" s="649" t="n">
        <v>50</v>
      </c>
    </row>
    <row r="14" ht="13" customHeight="1" s="581">
      <c r="B14" s="3" t="inlineStr">
        <is>
          <t>Maximum Amount for Data</t>
        </is>
      </c>
      <c r="C14" s="649" t="n">
        <v>50000</v>
      </c>
    </row>
    <row r="15" ht="13" customHeight="1" s="581">
      <c r="B15" s="183" t="inlineStr">
        <is>
          <t>Minimum Bills Payment (Electricity ONLY)</t>
        </is>
      </c>
      <c r="C15" s="650" t="n">
        <v>1000</v>
      </c>
    </row>
    <row r="16" ht="13" customHeight="1" s="581">
      <c r="B16" s="183" t="inlineStr">
        <is>
          <t>Minimum Bills Payment (Other Billers)</t>
        </is>
      </c>
      <c r="C16" s="650" t="n">
        <v>50</v>
      </c>
    </row>
    <row r="17" ht="14" customHeight="1" s="581" thickBot="1">
      <c r="B17" s="4" t="inlineStr">
        <is>
          <t>Maximum Bills Payment (ALL)</t>
        </is>
      </c>
      <c r="C17" s="648" t="n">
        <v>200000</v>
      </c>
    </row>
    <row r="18">
      <c r="B18" s="80" t="n"/>
      <c r="C18" s="651" t="n"/>
    </row>
    <row r="19">
      <c r="B19" s="80" t="n"/>
      <c r="C19" s="651" t="n"/>
    </row>
    <row r="20" ht="14.5" customHeight="1" s="581" thickBot="1">
      <c r="A20" s="143" t="n">
        <v>3</v>
      </c>
      <c r="B20" s="180" t="inlineStr">
        <is>
          <t>Transfers</t>
        </is>
      </c>
    </row>
    <row r="21" ht="14.15" customFormat="1" customHeight="1" s="2" thickBot="1">
      <c r="B21" s="6" t="inlineStr">
        <is>
          <t>Transaction Type</t>
        </is>
      </c>
      <c r="C21" s="7" t="inlineStr">
        <is>
          <t>Value</t>
        </is>
      </c>
    </row>
    <row r="22" ht="14.15" customHeight="1" s="581">
      <c r="B22" s="181" t="inlineStr">
        <is>
          <t>Minimum Amount for Per Transfer with PIN</t>
        </is>
      </c>
      <c r="C22" s="646" t="n">
        <v>50</v>
      </c>
    </row>
    <row r="23">
      <c r="B23" s="3" t="inlineStr">
        <is>
          <t>Maximum Amount for Per Transfer with PIN</t>
        </is>
      </c>
      <c r="C23" s="649" t="n">
        <v>1000000</v>
      </c>
    </row>
    <row r="24" ht="20" customHeight="1" s="581" thickBot="1">
      <c r="B24" s="153" t="inlineStr">
        <is>
          <t>Cummulative daily transfer amount for Per Agent (with PIN + 2FA + Indemnity)</t>
        </is>
      </c>
      <c r="C24" s="652" t="n">
        <v>25000000</v>
      </c>
    </row>
    <row r="25" ht="25.5" customHeight="1" s="581">
      <c r="B25" s="561" t="inlineStr">
        <is>
          <t>Note: For daily cumulative transfer above N1m, Agent will be required to execute a one-time indemnity and use 2FA (SMS OTP) to complete the transaction</t>
        </is>
      </c>
      <c r="C25" s="559" t="n"/>
    </row>
    <row r="26">
      <c r="B26" s="80" t="n"/>
      <c r="C26" s="651" t="n"/>
    </row>
    <row r="27">
      <c r="B27" s="80" t="n"/>
      <c r="C27" s="651" t="n"/>
    </row>
    <row r="28">
      <c r="A28" s="104" t="inlineStr">
        <is>
          <t>Note:</t>
        </is>
      </c>
      <c r="B28" s="190" t="inlineStr">
        <is>
          <t>Approved agent code is 6010 for agent banking activities</t>
        </is>
      </c>
    </row>
  </sheetData>
  <mergeCells count="1">
    <mergeCell ref="B25:C25"/>
  </mergeCells>
  <pageMargins left="0.7086614173228347" right="0.7086614173228347" top="0.7480314960629921" bottom="0.7480314960629921" header="0.3149606299212598" footer="0.3149606299212598"/>
  <pageSetup orientation="portrait" paperSize="9" scale="99"/>
</worksheet>
</file>

<file path=xl/worksheets/sheet4.xml><?xml version="1.0" encoding="utf-8"?>
<worksheet xmlns="http://schemas.openxmlformats.org/spreadsheetml/2006/main">
  <sheetPr>
    <tabColor theme="9"/>
    <outlinePr summaryBelow="1" summaryRight="1"/>
    <pageSetUpPr fitToPage="1"/>
  </sheetPr>
  <dimension ref="A2:M24"/>
  <sheetViews>
    <sheetView zoomScaleNormal="100" workbookViewId="0">
      <selection activeCell="F13" sqref="F13"/>
    </sheetView>
  </sheetViews>
  <sheetFormatPr baseColWidth="8" defaultRowHeight="13.5"/>
  <cols>
    <col width="7.26953125" bestFit="1" customWidth="1" style="142" min="1" max="1"/>
    <col width="26.54296875" customWidth="1" style="563" min="2" max="2"/>
    <col width="31" customWidth="1" style="563" min="3" max="3"/>
    <col width="0.7265625" customWidth="1" style="563" min="4" max="4"/>
    <col width="26.90625" bestFit="1" customWidth="1" style="563" min="5" max="5"/>
    <col width="22.453125" customWidth="1" style="563" min="6" max="6"/>
    <col width="22.6328125" bestFit="1" customWidth="1" style="563" min="7" max="7"/>
    <col width="8.7265625" customWidth="1" style="563" min="8" max="8"/>
    <col width="11.90625" bestFit="1" customWidth="1" style="563" min="9" max="9"/>
    <col width="14.7265625" bestFit="1" customWidth="1" style="563" min="10" max="13"/>
    <col width="8.7265625" customWidth="1" style="563" min="14" max="14"/>
    <col width="8.7265625" customWidth="1" style="563" min="15" max="16384"/>
  </cols>
  <sheetData>
    <row r="2" ht="14" customHeight="1" s="581" thickBot="1">
      <c r="B2" s="564" t="inlineStr">
        <is>
          <t>Banded Charges for Card Withdrawal</t>
        </is>
      </c>
      <c r="D2" s="104" t="n"/>
      <c r="E2" s="104" t="inlineStr">
        <is>
          <t>Standard Charge</t>
        </is>
      </c>
      <c r="F2" s="163" t="inlineStr">
        <is>
          <t>0.5% capped N100</t>
        </is>
      </c>
    </row>
    <row r="3" ht="27.5" customFormat="1" customHeight="1" s="2" thickBot="1">
      <c r="A3" s="143" t="n"/>
      <c r="B3" s="147" t="inlineStr">
        <is>
          <t>Amount Range (N)</t>
        </is>
      </c>
      <c r="C3" s="148" t="inlineStr">
        <is>
          <t>Total Charge 
(VAT Inclusive)</t>
        </is>
      </c>
      <c r="D3" s="565" t="n"/>
      <c r="E3" s="147" t="inlineStr">
        <is>
          <t>Amount Range (N)</t>
        </is>
      </c>
      <c r="F3" s="148" t="inlineStr">
        <is>
          <t>Total Charge 
(VAT Inclusive)</t>
        </is>
      </c>
    </row>
    <row r="4">
      <c r="B4" s="653" t="inlineStr">
        <is>
          <t>100 - 1,000</t>
        </is>
      </c>
      <c r="C4" s="654" t="n">
        <v>5</v>
      </c>
      <c r="D4" s="566" t="n"/>
      <c r="E4" s="653" t="inlineStr">
        <is>
          <t>11,001 - 12,000</t>
        </is>
      </c>
      <c r="F4" s="654" t="n">
        <v>60</v>
      </c>
    </row>
    <row r="5">
      <c r="B5" s="653" t="inlineStr">
        <is>
          <t>1,001 - 2,000</t>
        </is>
      </c>
      <c r="C5" s="655" t="n">
        <v>10</v>
      </c>
      <c r="D5" s="566" t="n"/>
      <c r="E5" s="656" t="inlineStr">
        <is>
          <t>12,001 - 13,000</t>
        </is>
      </c>
      <c r="F5" s="655" t="n">
        <v>65</v>
      </c>
    </row>
    <row r="6">
      <c r="B6" s="653" t="inlineStr">
        <is>
          <t>2,001 - 3,000</t>
        </is>
      </c>
      <c r="C6" s="655" t="n">
        <v>15</v>
      </c>
      <c r="D6" s="566" t="n"/>
      <c r="E6" s="656" t="inlineStr">
        <is>
          <t>13,001 - 14,000</t>
        </is>
      </c>
      <c r="F6" s="655" t="n">
        <v>70</v>
      </c>
      <c r="J6" s="2" t="n"/>
      <c r="K6" s="2" t="n"/>
      <c r="L6" s="2" t="n"/>
    </row>
    <row r="7">
      <c r="B7" s="653" t="inlineStr">
        <is>
          <t>3,001 - 4,000</t>
        </is>
      </c>
      <c r="C7" s="655" t="n">
        <v>20</v>
      </c>
      <c r="D7" s="566" t="n"/>
      <c r="E7" s="656" t="inlineStr">
        <is>
          <t>14,001 - 15,000</t>
        </is>
      </c>
      <c r="F7" s="655" t="n">
        <v>75</v>
      </c>
      <c r="J7" s="657" t="n"/>
      <c r="K7" s="658" t="n"/>
      <c r="L7" s="658" t="n"/>
    </row>
    <row r="8">
      <c r="B8" s="653" t="inlineStr">
        <is>
          <t>4,001 - 5,000</t>
        </is>
      </c>
      <c r="C8" s="655" t="n">
        <v>25</v>
      </c>
      <c r="D8" s="566" t="n"/>
      <c r="E8" s="656" t="inlineStr">
        <is>
          <t>15,001 - 16,000</t>
        </is>
      </c>
      <c r="F8" s="655" t="n">
        <v>80</v>
      </c>
      <c r="K8" s="658" t="n"/>
      <c r="L8" s="658" t="n"/>
    </row>
    <row r="9">
      <c r="B9" s="653" t="inlineStr">
        <is>
          <t>5,001 - 6,000</t>
        </is>
      </c>
      <c r="C9" s="655" t="n">
        <v>30</v>
      </c>
      <c r="D9" s="566" t="n"/>
      <c r="E9" s="656" t="inlineStr">
        <is>
          <t>16,001 - 17,000</t>
        </is>
      </c>
      <c r="F9" s="655" t="n">
        <v>85</v>
      </c>
      <c r="I9" s="2" t="n"/>
      <c r="J9" s="659" t="n"/>
      <c r="K9" s="659" t="n"/>
      <c r="L9" s="659" t="n"/>
      <c r="M9" s="660" t="n"/>
    </row>
    <row r="10">
      <c r="B10" s="653" t="inlineStr">
        <is>
          <t>6,001 - 7,000</t>
        </is>
      </c>
      <c r="C10" s="655" t="n">
        <v>35</v>
      </c>
      <c r="D10" s="566" t="n"/>
      <c r="E10" s="656" t="inlineStr">
        <is>
          <t>17,001 - 18,000</t>
        </is>
      </c>
      <c r="F10" s="655" t="n">
        <v>90</v>
      </c>
    </row>
    <row r="11">
      <c r="B11" s="653" t="inlineStr">
        <is>
          <t>7,001 - 8,000</t>
        </is>
      </c>
      <c r="C11" s="655" t="n">
        <v>40</v>
      </c>
      <c r="D11" s="566" t="n"/>
      <c r="E11" s="656" t="inlineStr">
        <is>
          <t>18,001 - 19,000</t>
        </is>
      </c>
      <c r="F11" s="655" t="n">
        <v>95</v>
      </c>
      <c r="K11" s="661" t="n"/>
    </row>
    <row r="12">
      <c r="B12" s="653" t="inlineStr">
        <is>
          <t>8,001 - 9,000</t>
        </is>
      </c>
      <c r="C12" s="655" t="n">
        <v>45</v>
      </c>
      <c r="D12" s="566" t="n"/>
      <c r="E12" s="656" t="inlineStr">
        <is>
          <t>19,001 - 20,000</t>
        </is>
      </c>
      <c r="F12" s="655" t="n">
        <v>100</v>
      </c>
    </row>
    <row r="13" ht="14" customHeight="1" s="581" thickBot="1">
      <c r="B13" s="662" t="inlineStr">
        <is>
          <t>9,001 - 10,000</t>
        </is>
      </c>
      <c r="C13" s="663" t="n">
        <v>50</v>
      </c>
      <c r="D13" s="567" t="n"/>
      <c r="E13" s="664" t="inlineStr">
        <is>
          <t xml:space="preserve">Above 20,000 </t>
        </is>
      </c>
      <c r="F13" s="663" t="n">
        <v>100</v>
      </c>
      <c r="K13" s="661" t="n"/>
    </row>
    <row r="14">
      <c r="B14" s="665" t="n"/>
      <c r="C14" s="666" t="n"/>
      <c r="D14" s="143" t="n"/>
      <c r="E14" s="665" t="n"/>
      <c r="F14" s="666" t="n"/>
      <c r="K14" s="661" t="n"/>
    </row>
    <row r="15" ht="15" customHeight="1" s="581" thickBot="1">
      <c r="B15" s="667" t="inlineStr">
        <is>
          <t>Agent classification based on successful monthly card withdrawal transaction count</t>
        </is>
      </c>
      <c r="C15" s="570" t="n"/>
      <c r="D15" s="570" t="n"/>
      <c r="E15" s="570" t="n"/>
      <c r="F15" s="570" t="n"/>
      <c r="G15" s="570" t="n"/>
      <c r="K15" s="661" t="n"/>
    </row>
    <row r="16" ht="14.5" customHeight="1" s="581" thickBot="1">
      <c r="B16" s="668" t="inlineStr">
        <is>
          <t>Category</t>
        </is>
      </c>
      <c r="C16" s="669" t="inlineStr">
        <is>
          <t>Card Withdrawal Tranx/Month</t>
        </is>
      </c>
      <c r="D16" s="670" t="n"/>
      <c r="E16" s="671" t="inlineStr">
        <is>
          <t>Card Withdrawal Charge</t>
        </is>
      </c>
      <c r="F16" s="672" t="inlineStr">
        <is>
          <t>Transfer Charge</t>
        </is>
      </c>
      <c r="G16" s="673" t="inlineStr">
        <is>
          <t>Remarks</t>
        </is>
      </c>
      <c r="L16" s="661" t="n"/>
    </row>
    <row r="17" ht="14.5" customHeight="1" s="581">
      <c r="B17" s="674" t="inlineStr">
        <is>
          <t xml:space="preserve">Silver </t>
        </is>
      </c>
      <c r="C17" s="675" t="inlineStr">
        <is>
          <t>1-199</t>
        </is>
      </c>
      <c r="D17" s="676" t="n"/>
      <c r="E17" s="677" t="inlineStr">
        <is>
          <t>0.50% capped at N100</t>
        </is>
      </c>
      <c r="F17" s="454" t="n">
        <v>20</v>
      </c>
      <c r="G17" s="678" t="inlineStr">
        <is>
          <t>No Cashback</t>
        </is>
      </c>
      <c r="L17" s="661" t="n"/>
    </row>
    <row r="18" ht="14.5" customHeight="1" s="581">
      <c r="B18" s="679" t="inlineStr">
        <is>
          <t xml:space="preserve">Gold </t>
        </is>
      </c>
      <c r="C18" s="680" t="inlineStr">
        <is>
          <t>200-499</t>
        </is>
      </c>
      <c r="D18" s="681" t="n"/>
      <c r="E18" s="682" t="inlineStr">
        <is>
          <t>0.50% capped at N100</t>
        </is>
      </c>
      <c r="F18" s="460" t="n">
        <v>20</v>
      </c>
      <c r="G18" s="683" t="inlineStr">
        <is>
          <t>10% Cashback on Fees</t>
        </is>
      </c>
      <c r="H18" s="658" t="n"/>
      <c r="L18" s="661" t="n"/>
    </row>
    <row r="19" ht="15" customHeight="1" s="581" thickBot="1">
      <c r="B19" s="684" t="inlineStr">
        <is>
          <t xml:space="preserve">Platinum </t>
        </is>
      </c>
      <c r="C19" s="685" t="inlineStr">
        <is>
          <t>500 &amp; above</t>
        </is>
      </c>
      <c r="D19" s="686" t="n"/>
      <c r="E19" s="687" t="inlineStr">
        <is>
          <t>0.50% capped at N100</t>
        </is>
      </c>
      <c r="F19" s="466" t="n">
        <v>20</v>
      </c>
      <c r="G19" s="688" t="inlineStr">
        <is>
          <t>20% Cashback on Fees</t>
        </is>
      </c>
      <c r="L19" s="661" t="n"/>
    </row>
    <row r="20">
      <c r="B20" s="689" t="n"/>
      <c r="C20" s="666" t="n"/>
      <c r="D20" s="143" t="n"/>
      <c r="E20" s="665" t="n"/>
      <c r="F20" s="666" t="n"/>
      <c r="H20" s="258" t="n"/>
      <c r="K20" s="661" t="n"/>
    </row>
    <row r="21">
      <c r="B21" s="690" t="inlineStr">
        <is>
          <t>Note: This classification will be automatically updated at the beginning of each month</t>
        </is>
      </c>
      <c r="K21" s="661" t="n"/>
    </row>
    <row r="24">
      <c r="A24" s="104" t="inlineStr">
        <is>
          <t>Note:</t>
        </is>
      </c>
      <c r="B24" s="190" t="inlineStr">
        <is>
          <t>Approved agent code is 6010 for agent banking activities</t>
        </is>
      </c>
    </row>
  </sheetData>
  <mergeCells count="5">
    <mergeCell ref="B21:F21"/>
    <mergeCell ref="B2:C2"/>
    <mergeCell ref="D3:D13"/>
    <mergeCell ref="J7:J8"/>
    <mergeCell ref="B15:G15"/>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B1:L79"/>
  <sheetViews>
    <sheetView zoomScale="90" zoomScaleNormal="90" workbookViewId="0">
      <selection activeCell="H14" sqref="H14"/>
    </sheetView>
  </sheetViews>
  <sheetFormatPr baseColWidth="8" defaultColWidth="12.1796875" defaultRowHeight="14.5"/>
  <cols>
    <col width="6" customWidth="1" style="581" min="1" max="1"/>
    <col width="6.1796875" customWidth="1" style="581" min="2" max="2"/>
    <col width="25" customWidth="1" style="581" min="3" max="3"/>
    <col width="39.54296875" customWidth="1" style="581" min="4" max="4"/>
    <col width="26" bestFit="1" customWidth="1" style="581" min="5" max="5"/>
    <col width="35.453125" customWidth="1" style="581" min="11" max="11"/>
    <col width="40.1796875" customWidth="1" style="581" min="12" max="12"/>
  </cols>
  <sheetData>
    <row r="1" ht="15" customHeight="1" s="581" thickBot="1">
      <c r="B1" s="571" t="n"/>
      <c r="C1" s="570" t="n"/>
      <c r="D1" s="570" t="n"/>
    </row>
    <row r="2" ht="15" customHeight="1" s="581" thickBot="1">
      <c r="B2" s="575" t="inlineStr">
        <is>
          <t>1A. Card Withdrawal (for amount N1 to N10,000)</t>
        </is>
      </c>
      <c r="C2" s="573" t="n"/>
      <c r="D2" s="573" t="n"/>
      <c r="E2" s="573" t="n"/>
      <c r="F2" s="576" t="n"/>
    </row>
    <row r="3" ht="15" customHeight="1" s="581" thickBot="1">
      <c r="B3" s="8" t="inlineStr">
        <is>
          <t>Type</t>
        </is>
      </c>
      <c r="C3" s="9" t="inlineStr">
        <is>
          <t>Account Number</t>
        </is>
      </c>
      <c r="D3" s="9" t="inlineStr">
        <is>
          <t>Name</t>
        </is>
      </c>
      <c r="E3" s="9" t="inlineStr">
        <is>
          <t>Amount</t>
        </is>
      </c>
      <c r="F3" s="9" t="inlineStr">
        <is>
          <t>Value</t>
        </is>
      </c>
      <c r="J3" s="10" t="inlineStr">
        <is>
          <t>NEW</t>
        </is>
      </c>
    </row>
    <row r="4" ht="15" customHeight="1" s="581" thickBot="1">
      <c r="B4" s="11" t="inlineStr">
        <is>
          <t>DR</t>
        </is>
      </c>
      <c r="C4" s="12" t="n">
        <v>200604</v>
      </c>
      <c r="D4" s="12" t="inlineStr">
        <is>
          <t>3LINE INSTANT - Receivable Account</t>
        </is>
      </c>
      <c r="E4" s="12" t="inlineStr">
        <is>
          <t xml:space="preserve">Transaction Amount </t>
        </is>
      </c>
      <c r="F4" s="12" t="inlineStr">
        <is>
          <t>Nxxx</t>
        </is>
      </c>
      <c r="G4" s="13" t="n"/>
      <c r="J4" s="14" t="inlineStr">
        <is>
          <t>GL CODE</t>
        </is>
      </c>
      <c r="K4" s="14" t="inlineStr">
        <is>
          <t>DESCRIPTION</t>
        </is>
      </c>
      <c r="L4" s="15" t="inlineStr">
        <is>
          <t>To be renamed as</t>
        </is>
      </c>
    </row>
    <row r="5" ht="15" customHeight="1" s="581" thickBot="1">
      <c r="B5" s="11" t="inlineStr">
        <is>
          <t>CR</t>
        </is>
      </c>
      <c r="C5" s="12" t="inlineStr">
        <is>
          <t>AAAAAAAAAA</t>
        </is>
      </c>
      <c r="D5" s="12" t="inlineStr">
        <is>
          <t>Agent’s Account</t>
        </is>
      </c>
      <c r="E5" s="12" t="inlineStr">
        <is>
          <t xml:space="preserve">Transaction Amount </t>
        </is>
      </c>
      <c r="F5" s="12" t="inlineStr">
        <is>
          <t>Nxxx</t>
        </is>
      </c>
      <c r="G5" s="16" t="n"/>
      <c r="J5" s="17" t="inlineStr">
        <is>
          <t>GL 700310</t>
        </is>
      </c>
      <c r="K5" s="17" t="inlineStr">
        <is>
          <t xml:space="preserve"> 9PSB-SLP-VAT Cashout Fee Payable</t>
        </is>
      </c>
      <c r="L5" s="18" t="inlineStr">
        <is>
          <t>SLP Cashout Fee Payable</t>
        </is>
      </c>
    </row>
    <row r="6" ht="15" customHeight="1" s="581" thickBot="1">
      <c r="B6" s="11" t="inlineStr">
        <is>
          <t>DR</t>
        </is>
      </c>
      <c r="C6" s="12" t="inlineStr">
        <is>
          <t>AAAAAAAAAA</t>
        </is>
      </c>
      <c r="D6" s="12" t="inlineStr">
        <is>
          <t>Agent’s Account</t>
        </is>
      </c>
      <c r="E6" s="12" t="inlineStr">
        <is>
          <t>Switching fees due to 3Line</t>
        </is>
      </c>
      <c r="F6" s="12" t="inlineStr">
        <is>
          <t>N25.00</t>
        </is>
      </c>
      <c r="G6" s="16" t="n"/>
      <c r="J6" s="17" t="inlineStr">
        <is>
          <t>GL 700311</t>
        </is>
      </c>
      <c r="K6" s="17" t="inlineStr">
        <is>
          <t>9PSB-SLP-VAT Transfer Fee Payable</t>
        </is>
      </c>
      <c r="L6" s="18" t="inlineStr">
        <is>
          <t>SLP Transfer Fee Payable</t>
        </is>
      </c>
    </row>
    <row r="7" ht="15" customHeight="1" s="581" thickBot="1">
      <c r="B7" s="11" t="inlineStr">
        <is>
          <t>CR</t>
        </is>
      </c>
      <c r="C7" s="12" t="n">
        <v>200604</v>
      </c>
      <c r="D7" s="12" t="inlineStr">
        <is>
          <t>3LINE INSTANT - Receivable Account</t>
        </is>
      </c>
      <c r="E7" s="12" t="inlineStr">
        <is>
          <t>Switching fees due to 3Line</t>
        </is>
      </c>
      <c r="F7" s="12" t="inlineStr">
        <is>
          <t>N25.00</t>
        </is>
      </c>
      <c r="G7" s="16" t="n"/>
      <c r="J7" s="17" t="inlineStr">
        <is>
          <t>GL 700312</t>
        </is>
      </c>
      <c r="K7" s="17" t="inlineStr">
        <is>
          <t>9PSB-SLP-VAT Token Fee Payable</t>
        </is>
      </c>
      <c r="L7" s="18" t="inlineStr">
        <is>
          <t>SLPToken Fee Payable</t>
        </is>
      </c>
    </row>
    <row r="8" ht="15" customHeight="1" s="581" thickBot="1">
      <c r="B8" s="11" t="inlineStr">
        <is>
          <t>DR</t>
        </is>
      </c>
      <c r="C8" s="12" t="inlineStr">
        <is>
          <t>AAAAAAAAAA</t>
        </is>
      </c>
      <c r="D8" s="12" t="inlineStr">
        <is>
          <t>Agent’s Account</t>
        </is>
      </c>
      <c r="E8" s="12" t="inlineStr">
        <is>
          <t>Fees due to 9PSB</t>
        </is>
      </c>
      <c r="F8" s="12" t="inlineStr">
        <is>
          <t>N15.00</t>
        </is>
      </c>
      <c r="G8" s="16" t="n"/>
      <c r="J8" s="17" t="inlineStr">
        <is>
          <t>GL 700313</t>
        </is>
      </c>
      <c r="K8" s="17" t="inlineStr">
        <is>
          <t>9PSB-SLP-VAT Bills Payment Fee Payable</t>
        </is>
      </c>
      <c r="L8" s="18" t="inlineStr">
        <is>
          <t>SLPBills Payment Fee Payable</t>
        </is>
      </c>
    </row>
    <row r="9" ht="15" customHeight="1" s="581" thickBot="1">
      <c r="B9" s="11" t="inlineStr">
        <is>
          <t>CR</t>
        </is>
      </c>
      <c r="C9" s="19" t="inlineStr">
        <is>
          <t>GL300301</t>
        </is>
      </c>
      <c r="D9" s="20" t="inlineStr">
        <is>
          <t>Revenue from Cashout</t>
        </is>
      </c>
      <c r="E9" s="12" t="inlineStr">
        <is>
          <t>Fees due to 9PSB</t>
        </is>
      </c>
      <c r="F9" s="12" t="inlineStr">
        <is>
          <t>N15.00</t>
        </is>
      </c>
      <c r="J9" s="17" t="inlineStr">
        <is>
          <t>GL 700314</t>
        </is>
      </c>
      <c r="K9" s="17" t="inlineStr">
        <is>
          <t>SLP Commission Payable</t>
        </is>
      </c>
      <c r="L9" s="17" t="n"/>
    </row>
    <row r="10" ht="15" customHeight="1" s="581" thickBot="1">
      <c r="B10" s="11" t="inlineStr">
        <is>
          <t>DR</t>
        </is>
      </c>
      <c r="C10" s="12" t="inlineStr">
        <is>
          <t>AAAAAAAAAA</t>
        </is>
      </c>
      <c r="D10" s="12" t="inlineStr">
        <is>
          <t>Agent’s Account</t>
        </is>
      </c>
      <c r="E10" s="12" t="inlineStr">
        <is>
          <t>VAT on Fees due to 9PSB</t>
        </is>
      </c>
      <c r="F10" s="12" t="inlineStr">
        <is>
          <t>N1.13</t>
        </is>
      </c>
    </row>
    <row r="11" ht="15" customHeight="1" s="581" thickBot="1">
      <c r="B11" s="11" t="inlineStr">
        <is>
          <t>CR</t>
        </is>
      </c>
      <c r="C11" s="12" t="n">
        <v>700506</v>
      </c>
      <c r="D11" s="12" t="inlineStr">
        <is>
          <t>VAT - Output</t>
        </is>
      </c>
      <c r="E11" s="12" t="inlineStr">
        <is>
          <t>VAT on Fees due to 9PSB</t>
        </is>
      </c>
      <c r="F11" s="12" t="inlineStr">
        <is>
          <t>N1.13</t>
        </is>
      </c>
    </row>
    <row r="12" ht="28.5" customHeight="1" s="581" thickBot="1">
      <c r="B12" s="11" t="inlineStr">
        <is>
          <t>DR</t>
        </is>
      </c>
      <c r="C12" s="12" t="inlineStr">
        <is>
          <t>AAAAAAAAAA</t>
        </is>
      </c>
      <c r="D12" s="12" t="inlineStr">
        <is>
          <t>Agent’s Account</t>
        </is>
      </c>
      <c r="E12" s="21" t="inlineStr">
        <is>
          <t>Commission due to SLP subject to WHT</t>
        </is>
      </c>
      <c r="F12" s="12" t="inlineStr">
        <is>
          <t>N10.00</t>
        </is>
      </c>
    </row>
    <row r="13" ht="28.5" customHeight="1" s="581" thickBot="1">
      <c r="B13" s="11" t="inlineStr">
        <is>
          <t>CR</t>
        </is>
      </c>
      <c r="C13" s="22" t="inlineStr">
        <is>
          <t>GL 700310</t>
        </is>
      </c>
      <c r="D13" s="23" t="inlineStr">
        <is>
          <t>SLP Cashout Fee Payable</t>
        </is>
      </c>
      <c r="E13" s="21" t="inlineStr">
        <is>
          <t>Commission due to SLP subject to WHT</t>
        </is>
      </c>
      <c r="F13" s="12" t="inlineStr">
        <is>
          <t>N10.00</t>
        </is>
      </c>
    </row>
    <row r="15" ht="15" customHeight="1" s="581" thickBot="1"/>
    <row r="16" ht="15" customHeight="1" s="581" thickBot="1">
      <c r="B16" s="575" t="inlineStr">
        <is>
          <t>1A. Card Withdrawal (for amount N10,0001 to N100,000)</t>
        </is>
      </c>
      <c r="C16" s="573" t="n"/>
      <c r="D16" s="573" t="n"/>
      <c r="E16" s="573" t="n"/>
      <c r="F16" s="576" t="n"/>
    </row>
    <row r="17" ht="15" customHeight="1" s="581" thickBot="1">
      <c r="B17" s="8" t="inlineStr">
        <is>
          <t>Type</t>
        </is>
      </c>
      <c r="C17" s="9" t="inlineStr">
        <is>
          <t>Account Number</t>
        </is>
      </c>
      <c r="D17" s="9" t="inlineStr">
        <is>
          <t>Name</t>
        </is>
      </c>
      <c r="E17" s="9" t="inlineStr">
        <is>
          <t>Amount</t>
        </is>
      </c>
      <c r="F17" s="9" t="inlineStr">
        <is>
          <t>Value</t>
        </is>
      </c>
      <c r="J17" s="10" t="n"/>
    </row>
    <row r="18" ht="15" customHeight="1" s="581" thickBot="1">
      <c r="B18" s="11" t="inlineStr">
        <is>
          <t>DR</t>
        </is>
      </c>
      <c r="C18" s="12" t="n">
        <v>200604</v>
      </c>
      <c r="D18" s="12" t="inlineStr">
        <is>
          <t>3LINE INSTANT - Receivable Account</t>
        </is>
      </c>
      <c r="E18" s="12" t="inlineStr">
        <is>
          <t xml:space="preserve">Transaction Amount </t>
        </is>
      </c>
      <c r="F18" s="12" t="inlineStr">
        <is>
          <t>Nxxx</t>
        </is>
      </c>
      <c r="G18" s="13" t="n"/>
      <c r="J18" s="24" t="n"/>
      <c r="K18" s="24" t="n"/>
    </row>
    <row r="19" ht="15" customHeight="1" s="581" thickBot="1">
      <c r="B19" s="11" t="inlineStr">
        <is>
          <t>CR</t>
        </is>
      </c>
      <c r="C19" s="12" t="inlineStr">
        <is>
          <t>AAAAAAAAAA</t>
        </is>
      </c>
      <c r="D19" s="12" t="inlineStr">
        <is>
          <t>Agent’s Account</t>
        </is>
      </c>
      <c r="E19" s="12" t="inlineStr">
        <is>
          <t xml:space="preserve">Transaction Amount </t>
        </is>
      </c>
      <c r="F19" s="12" t="inlineStr">
        <is>
          <t>Nxxx</t>
        </is>
      </c>
      <c r="G19" s="16" t="n"/>
    </row>
    <row r="20" ht="15" customHeight="1" s="581" thickBot="1">
      <c r="B20" s="11" t="inlineStr">
        <is>
          <t>DR</t>
        </is>
      </c>
      <c r="C20" s="12" t="inlineStr">
        <is>
          <t>AAAAAAAAAA</t>
        </is>
      </c>
      <c r="D20" s="12" t="inlineStr">
        <is>
          <t>Agent’s Account</t>
        </is>
      </c>
      <c r="E20" s="12" t="inlineStr">
        <is>
          <t>Switching fees due to 3Line</t>
        </is>
      </c>
      <c r="F20" s="12" t="inlineStr">
        <is>
          <t>N25.00</t>
        </is>
      </c>
      <c r="G20" s="16" t="n"/>
    </row>
    <row r="21" ht="15" customHeight="1" s="581" thickBot="1">
      <c r="B21" s="11" t="inlineStr">
        <is>
          <t>CR</t>
        </is>
      </c>
      <c r="C21" s="12" t="n">
        <v>200604</v>
      </c>
      <c r="D21" s="12" t="inlineStr">
        <is>
          <t>3LINE INSTANT - Receivable Account</t>
        </is>
      </c>
      <c r="E21" s="12" t="inlineStr">
        <is>
          <t>Switching fees due to 3Line</t>
        </is>
      </c>
      <c r="F21" s="12" t="inlineStr">
        <is>
          <t>N25.00</t>
        </is>
      </c>
      <c r="G21" s="16" t="n"/>
    </row>
    <row r="22" ht="15" customHeight="1" s="581" thickBot="1">
      <c r="B22" s="11" t="inlineStr">
        <is>
          <t>DR</t>
        </is>
      </c>
      <c r="C22" s="12" t="inlineStr">
        <is>
          <t>AAAAAAAAAA</t>
        </is>
      </c>
      <c r="D22" s="12" t="inlineStr">
        <is>
          <t>Agent’s Account</t>
        </is>
      </c>
      <c r="E22" s="12" t="inlineStr">
        <is>
          <t>Fees due to 9PSB</t>
        </is>
      </c>
      <c r="F22" s="12" t="inlineStr">
        <is>
          <t>N50.00</t>
        </is>
      </c>
      <c r="G22" s="16" t="n"/>
    </row>
    <row r="23" ht="15" customHeight="1" s="581" thickBot="1">
      <c r="B23" s="11" t="inlineStr">
        <is>
          <t>CR</t>
        </is>
      </c>
      <c r="C23" s="19" t="inlineStr">
        <is>
          <t>GL300301</t>
        </is>
      </c>
      <c r="D23" s="20" t="inlineStr">
        <is>
          <t>Revenue from Cashout</t>
        </is>
      </c>
      <c r="E23" s="12" t="inlineStr">
        <is>
          <t>Fees due to 9PSB</t>
        </is>
      </c>
      <c r="F23" s="12" t="inlineStr">
        <is>
          <t>N50.00</t>
        </is>
      </c>
    </row>
    <row r="24" ht="15" customHeight="1" s="581" thickBot="1">
      <c r="B24" s="11" t="inlineStr">
        <is>
          <t>DR</t>
        </is>
      </c>
      <c r="C24" s="12" t="inlineStr">
        <is>
          <t>AAAAAAAAAA</t>
        </is>
      </c>
      <c r="D24" s="12" t="inlineStr">
        <is>
          <t>Agent’s Account</t>
        </is>
      </c>
      <c r="E24" s="12" t="inlineStr">
        <is>
          <t>VAT on Fees due to 9PSB</t>
        </is>
      </c>
      <c r="F24" s="12" t="inlineStr">
        <is>
          <t>N3.73</t>
        </is>
      </c>
    </row>
    <row r="25" ht="15" customHeight="1" s="581" thickBot="1">
      <c r="B25" s="11" t="inlineStr">
        <is>
          <t>CR</t>
        </is>
      </c>
      <c r="C25" s="12" t="n">
        <v>700506</v>
      </c>
      <c r="D25" s="12" t="inlineStr">
        <is>
          <t>VAT - Output</t>
        </is>
      </c>
      <c r="E25" s="12" t="inlineStr">
        <is>
          <t>VAT on Fees due to 9PSB</t>
        </is>
      </c>
      <c r="F25" s="12" t="inlineStr">
        <is>
          <t>N3.75</t>
        </is>
      </c>
    </row>
    <row r="26" ht="28.5" customHeight="1" s="581" thickBot="1">
      <c r="B26" s="11" t="inlineStr">
        <is>
          <t>DR</t>
        </is>
      </c>
      <c r="C26" s="12" t="inlineStr">
        <is>
          <t>AAAAAAAAAA</t>
        </is>
      </c>
      <c r="D26" s="12" t="inlineStr">
        <is>
          <t>Agent’s Account</t>
        </is>
      </c>
      <c r="E26" s="21" t="inlineStr">
        <is>
          <t>Commission due to SLP subject to WHT</t>
        </is>
      </c>
      <c r="F26" s="12" t="inlineStr">
        <is>
          <t>N25.00</t>
        </is>
      </c>
    </row>
    <row r="27" ht="28.5" customHeight="1" s="581" thickBot="1">
      <c r="B27" s="11" t="inlineStr">
        <is>
          <t>CR</t>
        </is>
      </c>
      <c r="C27" s="22" t="inlineStr">
        <is>
          <t>GL 700310</t>
        </is>
      </c>
      <c r="D27" s="23" t="inlineStr">
        <is>
          <t>SLP Cashout Fee Payable</t>
        </is>
      </c>
      <c r="E27" s="21" t="inlineStr">
        <is>
          <t>Commission due to SLP subject to WHT</t>
        </is>
      </c>
      <c r="F27" s="12" t="inlineStr">
        <is>
          <t>N25.00</t>
        </is>
      </c>
    </row>
    <row r="30" ht="15" customHeight="1" s="581" thickBot="1">
      <c r="B30" s="571" t="inlineStr">
        <is>
          <t>(2) Cash Deposit/Interbank Transfer (All transaction amounts)</t>
        </is>
      </c>
      <c r="C30" s="570" t="n"/>
      <c r="D30" s="570" t="n"/>
      <c r="E30" s="570" t="n"/>
      <c r="F30" s="570" t="n"/>
    </row>
    <row r="31" ht="28.5" customHeight="1" s="581" thickBot="1">
      <c r="B31" s="25" t="inlineStr">
        <is>
          <t>Type</t>
        </is>
      </c>
      <c r="C31" s="26" t="inlineStr">
        <is>
          <t>Account Number</t>
        </is>
      </c>
      <c r="D31" s="27" t="inlineStr">
        <is>
          <t>Name</t>
        </is>
      </c>
      <c r="E31" s="26" t="inlineStr">
        <is>
          <t>Amount</t>
        </is>
      </c>
      <c r="F31" s="28" t="inlineStr">
        <is>
          <t>Sample Values</t>
        </is>
      </c>
    </row>
    <row r="32">
      <c r="B32" s="29" t="inlineStr">
        <is>
          <t>DR</t>
        </is>
      </c>
      <c r="C32" s="30" t="inlineStr">
        <is>
          <t>AAAAAAAAAA</t>
        </is>
      </c>
      <c r="D32" s="31" t="inlineStr">
        <is>
          <t>Agent’s Account</t>
        </is>
      </c>
      <c r="E32" s="30" t="inlineStr">
        <is>
          <t xml:space="preserve">Transaction Amount </t>
        </is>
      </c>
      <c r="F32" s="32" t="inlineStr">
        <is>
          <t xml:space="preserve">Nxxx </t>
        </is>
      </c>
    </row>
    <row r="33" ht="28" customHeight="1" s="581">
      <c r="B33" s="33" t="inlineStr">
        <is>
          <t>CR</t>
        </is>
      </c>
      <c r="C33" s="34" t="n">
        <v>700303</v>
      </c>
      <c r="D33" s="35" t="inlineStr">
        <is>
          <t>NIBSS Instant Payment Settlement Account</t>
        </is>
      </c>
      <c r="E33" s="34" t="inlineStr">
        <is>
          <t>Transaction Amount</t>
        </is>
      </c>
      <c r="F33" s="36" t="inlineStr">
        <is>
          <t>Nxxx</t>
        </is>
      </c>
    </row>
    <row r="34">
      <c r="B34" s="33" t="inlineStr">
        <is>
          <t>DR</t>
        </is>
      </c>
      <c r="C34" s="34" t="inlineStr">
        <is>
          <t>AAAAAAAAAA</t>
        </is>
      </c>
      <c r="D34" s="35" t="inlineStr">
        <is>
          <t>Agent’s Account</t>
        </is>
      </c>
      <c r="E34" s="34" t="inlineStr">
        <is>
          <t>NIP Switching Cost</t>
        </is>
      </c>
      <c r="F34" s="36" t="inlineStr">
        <is>
          <t>N5.50</t>
        </is>
      </c>
    </row>
    <row r="35">
      <c r="B35" s="33" t="inlineStr">
        <is>
          <t>CR</t>
        </is>
      </c>
      <c r="C35" s="34" t="n">
        <v>700304</v>
      </c>
      <c r="D35" s="35" t="inlineStr">
        <is>
          <t>NIBSS Fees Transactions</t>
        </is>
      </c>
      <c r="E35" s="34" t="inlineStr">
        <is>
          <t>NIP Switching Cost</t>
        </is>
      </c>
      <c r="F35" s="36" t="inlineStr">
        <is>
          <t>N5.50</t>
        </is>
      </c>
    </row>
    <row r="36">
      <c r="B36" s="33" t="inlineStr">
        <is>
          <t>DR</t>
        </is>
      </c>
      <c r="C36" s="34" t="inlineStr">
        <is>
          <t>AAAAAAAAAA</t>
        </is>
      </c>
      <c r="D36" s="35" t="inlineStr">
        <is>
          <t>Agent’s Account</t>
        </is>
      </c>
      <c r="E36" s="34" t="inlineStr">
        <is>
          <t>Fees due to 9PSB</t>
        </is>
      </c>
      <c r="F36" s="36" t="inlineStr">
        <is>
          <t>N10.00</t>
        </is>
      </c>
    </row>
    <row r="37" ht="15.5" customHeight="1" s="581">
      <c r="B37" s="33" t="inlineStr">
        <is>
          <t>CR</t>
        </is>
      </c>
      <c r="C37" s="691" t="n">
        <v>300302</v>
      </c>
      <c r="D37" s="37" t="inlineStr">
        <is>
          <t>Transfers Revenue</t>
        </is>
      </c>
      <c r="E37" s="34" t="inlineStr">
        <is>
          <t>Fees due to 9PSB</t>
        </is>
      </c>
      <c r="F37" s="36" t="inlineStr">
        <is>
          <t>N10.00</t>
        </is>
      </c>
    </row>
    <row r="38">
      <c r="B38" s="33" t="inlineStr">
        <is>
          <t>DR</t>
        </is>
      </c>
      <c r="C38" s="34" t="inlineStr">
        <is>
          <t>AAAAAAAAAA</t>
        </is>
      </c>
      <c r="D38" s="35" t="inlineStr">
        <is>
          <t>Agent’s Account</t>
        </is>
      </c>
      <c r="E38" s="34" t="inlineStr">
        <is>
          <t>VAT on Fees due to 9PSB</t>
        </is>
      </c>
      <c r="F38" s="36" t="inlineStr">
        <is>
          <t>N0.75</t>
        </is>
      </c>
    </row>
    <row r="39">
      <c r="B39" s="33" t="inlineStr">
        <is>
          <t>CR</t>
        </is>
      </c>
      <c r="C39" s="34" t="n">
        <v>700506</v>
      </c>
      <c r="D39" s="35" t="inlineStr">
        <is>
          <t>VAT - Output</t>
        </is>
      </c>
      <c r="E39" s="34" t="inlineStr">
        <is>
          <t>VAT on Fees due to 9PSB</t>
        </is>
      </c>
      <c r="F39" s="36" t="inlineStr">
        <is>
          <t>N0.75</t>
        </is>
      </c>
    </row>
    <row r="40" ht="28" customHeight="1" s="581">
      <c r="B40" s="33" t="inlineStr">
        <is>
          <t>DR</t>
        </is>
      </c>
      <c r="C40" s="34" t="inlineStr">
        <is>
          <t>AAAAAAAAAA</t>
        </is>
      </c>
      <c r="D40" s="35" t="inlineStr">
        <is>
          <t>Agent’s Account</t>
        </is>
      </c>
      <c r="E40" s="38" t="inlineStr">
        <is>
          <t>Commission due to SLP subject to WHT</t>
        </is>
      </c>
      <c r="F40" s="36" t="inlineStr">
        <is>
          <t>N9.50</t>
        </is>
      </c>
    </row>
    <row r="41" ht="28.5" customHeight="1" s="581" thickBot="1">
      <c r="B41" s="39" t="inlineStr">
        <is>
          <t>CR</t>
        </is>
      </c>
      <c r="C41" s="40" t="inlineStr">
        <is>
          <t>GL 700311</t>
        </is>
      </c>
      <c r="D41" s="21" t="inlineStr">
        <is>
          <t>SLP Transfer Fee Payable</t>
        </is>
      </c>
      <c r="E41" s="38" t="inlineStr">
        <is>
          <t>Commission due to SLP subject to WHT</t>
        </is>
      </c>
      <c r="F41" s="41" t="inlineStr">
        <is>
          <t>N9.50</t>
        </is>
      </c>
    </row>
    <row r="43" ht="15" customHeight="1" s="581" thickBot="1">
      <c r="B43" s="571" t="inlineStr">
        <is>
          <t>(3) Intrabank Transfers (All transaction amounts)</t>
        </is>
      </c>
      <c r="C43" s="570" t="n"/>
      <c r="D43" s="570" t="n"/>
      <c r="E43" s="570" t="n"/>
      <c r="F43" s="570" t="n"/>
    </row>
    <row r="44" ht="28.5" customHeight="1" s="581" thickBot="1">
      <c r="B44" s="42" t="inlineStr">
        <is>
          <t>Type</t>
        </is>
      </c>
      <c r="C44" s="43" t="inlineStr">
        <is>
          <t>Account Number</t>
        </is>
      </c>
      <c r="D44" s="43" t="inlineStr">
        <is>
          <t>Name</t>
        </is>
      </c>
      <c r="E44" s="43" t="inlineStr">
        <is>
          <t>Amount</t>
        </is>
      </c>
      <c r="F44" s="43" t="inlineStr">
        <is>
          <t>Sample Values</t>
        </is>
      </c>
    </row>
    <row r="45" ht="15" customHeight="1" s="581" thickBot="1">
      <c r="B45" s="11" t="inlineStr">
        <is>
          <t>DR</t>
        </is>
      </c>
      <c r="C45" s="12" t="inlineStr">
        <is>
          <t>XXXXXXXXXX</t>
        </is>
      </c>
      <c r="D45" s="12" t="inlineStr">
        <is>
          <t>Sender’s Name</t>
        </is>
      </c>
      <c r="E45" s="12" t="inlineStr">
        <is>
          <t>Transaction Amount</t>
        </is>
      </c>
      <c r="F45" s="12" t="inlineStr">
        <is>
          <t>Nxxx</t>
        </is>
      </c>
    </row>
    <row r="46" ht="15" customHeight="1" s="581" thickBot="1">
      <c r="B46" s="11" t="inlineStr">
        <is>
          <t>CR</t>
        </is>
      </c>
      <c r="C46" s="12" t="inlineStr">
        <is>
          <t>YYYYYYYYYY</t>
        </is>
      </c>
      <c r="D46" s="12" t="inlineStr">
        <is>
          <t>Beneficiary’s Name</t>
        </is>
      </c>
      <c r="E46" s="12" t="inlineStr">
        <is>
          <t>Transaction Amount</t>
        </is>
      </c>
      <c r="F46" s="12" t="inlineStr">
        <is>
          <t>Nxxx</t>
        </is>
      </c>
    </row>
    <row r="48" ht="15" customHeight="1" s="581" thickBot="1"/>
    <row r="49" ht="15" customHeight="1" s="581" thickBot="1">
      <c r="B49" s="577" t="inlineStr">
        <is>
          <t>(4)	Token Withdrawal</t>
        </is>
      </c>
      <c r="C49" s="559" t="n"/>
      <c r="D49" s="559" t="n"/>
      <c r="E49" s="559" t="n"/>
      <c r="F49" s="578" t="n"/>
    </row>
    <row r="50" ht="28" customHeight="1" s="581">
      <c r="B50" s="44" t="inlineStr">
        <is>
          <t>Type</t>
        </is>
      </c>
      <c r="C50" s="45" t="inlineStr">
        <is>
          <t>Account Number</t>
        </is>
      </c>
      <c r="D50" s="46" t="inlineStr">
        <is>
          <t>Name</t>
        </is>
      </c>
      <c r="E50" s="30" t="inlineStr">
        <is>
          <t>Amount</t>
        </is>
      </c>
      <c r="F50" s="47" t="inlineStr">
        <is>
          <t>Sample Values</t>
        </is>
      </c>
    </row>
    <row r="51">
      <c r="B51" s="48" t="inlineStr">
        <is>
          <t>DR</t>
        </is>
      </c>
      <c r="C51" s="49" t="inlineStr">
        <is>
          <t>XXXXXXXXXX</t>
        </is>
      </c>
      <c r="D51" s="50" t="inlineStr">
        <is>
          <t>Customer’s Name</t>
        </is>
      </c>
      <c r="E51" s="34" t="inlineStr">
        <is>
          <t xml:space="preserve">Transaction Amount </t>
        </is>
      </c>
      <c r="F51" s="36" t="inlineStr">
        <is>
          <t xml:space="preserve">Nxxx </t>
        </is>
      </c>
    </row>
    <row r="52">
      <c r="B52" s="48" t="inlineStr">
        <is>
          <t>CR</t>
        </is>
      </c>
      <c r="C52" s="49" t="inlineStr">
        <is>
          <t>AAAAAAAAAA</t>
        </is>
      </c>
      <c r="D52" s="50" t="inlineStr">
        <is>
          <t>Agent’s Account</t>
        </is>
      </c>
      <c r="E52" s="34" t="inlineStr">
        <is>
          <t xml:space="preserve">Transaction Amount </t>
        </is>
      </c>
      <c r="F52" s="36" t="inlineStr">
        <is>
          <t xml:space="preserve">Nxxx </t>
        </is>
      </c>
    </row>
    <row r="53">
      <c r="B53" s="48" t="inlineStr">
        <is>
          <t>DR</t>
        </is>
      </c>
      <c r="C53" s="49" t="inlineStr">
        <is>
          <t>AAAAAAAAAA</t>
        </is>
      </c>
      <c r="D53" s="50" t="inlineStr">
        <is>
          <t>Agent’s Account</t>
        </is>
      </c>
      <c r="E53" s="34" t="inlineStr">
        <is>
          <t>Fees due to 9PSB</t>
        </is>
      </c>
      <c r="F53" s="36" t="inlineStr">
        <is>
          <t>N30.00</t>
        </is>
      </c>
    </row>
    <row r="54">
      <c r="B54" s="48" t="inlineStr">
        <is>
          <t>CR</t>
        </is>
      </c>
      <c r="C54" s="51" t="inlineStr">
        <is>
          <t>PL 300313</t>
        </is>
      </c>
      <c r="D54" s="52" t="inlineStr">
        <is>
          <t>Revenue from Token withdrawal</t>
        </is>
      </c>
      <c r="E54" s="34" t="inlineStr">
        <is>
          <t>Fees due to 9PSB</t>
        </is>
      </c>
      <c r="F54" s="36" t="inlineStr">
        <is>
          <t>N30.00</t>
        </is>
      </c>
    </row>
    <row r="55">
      <c r="B55" s="48" t="inlineStr">
        <is>
          <t>DR</t>
        </is>
      </c>
      <c r="C55" s="49" t="inlineStr">
        <is>
          <t>AAAAAAAAAA</t>
        </is>
      </c>
      <c r="D55" s="50" t="inlineStr">
        <is>
          <t>Agent’s Account</t>
        </is>
      </c>
      <c r="E55" s="34" t="inlineStr">
        <is>
          <t>VAT on Fee due to 9PSB</t>
        </is>
      </c>
      <c r="F55" s="36" t="inlineStr">
        <is>
          <t>N2.25</t>
        </is>
      </c>
    </row>
    <row r="56">
      <c r="B56" s="48" t="inlineStr">
        <is>
          <t>CR</t>
        </is>
      </c>
      <c r="C56" s="49" t="n">
        <v>700506</v>
      </c>
      <c r="D56" s="50" t="inlineStr">
        <is>
          <t>VAT - Output</t>
        </is>
      </c>
      <c r="E56" s="34" t="inlineStr">
        <is>
          <t>VAT on Fee due to 9PSB</t>
        </is>
      </c>
      <c r="F56" s="36" t="inlineStr">
        <is>
          <t>N2.25</t>
        </is>
      </c>
    </row>
    <row r="57" ht="28" customHeight="1" s="581">
      <c r="B57" s="48" t="inlineStr">
        <is>
          <t>DR</t>
        </is>
      </c>
      <c r="C57" s="49" t="inlineStr">
        <is>
          <t>AAAAAAAAAA</t>
        </is>
      </c>
      <c r="D57" s="50" t="inlineStr">
        <is>
          <t>Agent’s Account</t>
        </is>
      </c>
      <c r="E57" s="38" t="inlineStr">
        <is>
          <t>Commission due to SLP subject to WHT</t>
        </is>
      </c>
      <c r="F57" s="36" t="inlineStr">
        <is>
          <t>N20.00</t>
        </is>
      </c>
    </row>
    <row r="58" ht="28.5" customHeight="1" s="581" thickBot="1">
      <c r="B58" s="53" t="inlineStr">
        <is>
          <t>CR</t>
        </is>
      </c>
      <c r="C58" s="54" t="inlineStr">
        <is>
          <t>GL 700312</t>
        </is>
      </c>
      <c r="D58" s="55" t="inlineStr">
        <is>
          <t>SLPToken Fee Payable</t>
        </is>
      </c>
      <c r="E58" s="38" t="inlineStr">
        <is>
          <t>Commission due to SLP subject to WHT</t>
        </is>
      </c>
      <c r="F58" s="41" t="inlineStr">
        <is>
          <t>N20.00</t>
        </is>
      </c>
    </row>
    <row r="61" ht="15" customHeight="1" s="581" thickBot="1"/>
    <row r="62" ht="15" customHeight="1" s="581" thickBot="1">
      <c r="B62" s="572" t="inlineStr">
        <is>
          <t xml:space="preserve">(5) Bills Payment </t>
        </is>
      </c>
      <c r="C62" s="573" t="n"/>
      <c r="D62" s="573" t="n"/>
      <c r="E62" s="573" t="n"/>
      <c r="F62" s="574" t="n"/>
    </row>
    <row r="63" ht="28.5" customHeight="1" s="581" thickBot="1">
      <c r="B63" s="26" t="inlineStr">
        <is>
          <t>Type</t>
        </is>
      </c>
      <c r="C63" s="28" t="inlineStr">
        <is>
          <t>Account Number</t>
        </is>
      </c>
      <c r="D63" s="28" t="inlineStr">
        <is>
          <t>Name</t>
        </is>
      </c>
      <c r="E63" s="30" t="inlineStr">
        <is>
          <t>Amount</t>
        </is>
      </c>
      <c r="F63" s="28" t="inlineStr">
        <is>
          <t>Sample Values</t>
        </is>
      </c>
    </row>
    <row r="64">
      <c r="B64" s="56" t="inlineStr">
        <is>
          <t>DR</t>
        </is>
      </c>
      <c r="C64" s="57" t="inlineStr">
        <is>
          <t>AAAAAAAAAA</t>
        </is>
      </c>
      <c r="D64" s="57" t="inlineStr">
        <is>
          <t>Agent’s Account</t>
        </is>
      </c>
      <c r="E64" s="34" t="inlineStr">
        <is>
          <t xml:space="preserve">Bill Amount </t>
        </is>
      </c>
      <c r="F64" s="58" t="inlineStr">
        <is>
          <t xml:space="preserve">Nxxx </t>
        </is>
      </c>
    </row>
    <row r="65" ht="28" customHeight="1" s="581">
      <c r="B65" s="48" t="inlineStr">
        <is>
          <t>CR</t>
        </is>
      </c>
      <c r="C65" s="49" t="n">
        <v>700301</v>
      </c>
      <c r="D65" s="49" t="inlineStr">
        <is>
          <t>Settlement Acct-Merchant-Cloud Interactive</t>
        </is>
      </c>
      <c r="E65" s="34" t="inlineStr">
        <is>
          <t>Bill Amount</t>
        </is>
      </c>
      <c r="F65" s="59" t="inlineStr">
        <is>
          <t>Nxxx</t>
        </is>
      </c>
    </row>
    <row r="66">
      <c r="B66" s="48" t="inlineStr">
        <is>
          <t>DR</t>
        </is>
      </c>
      <c r="C66" s="49" t="inlineStr">
        <is>
          <t>AAAAAAAAAA</t>
        </is>
      </c>
      <c r="D66" s="49" t="inlineStr">
        <is>
          <t>Agent’s Account</t>
        </is>
      </c>
      <c r="E66" s="34" t="inlineStr">
        <is>
          <t>Fees due to 9PSB</t>
        </is>
      </c>
      <c r="F66" s="59" t="inlineStr">
        <is>
          <t>N30.00</t>
        </is>
      </c>
    </row>
    <row r="67" ht="15.5" customHeight="1" s="581">
      <c r="B67" s="48" t="inlineStr">
        <is>
          <t>CR</t>
        </is>
      </c>
      <c r="C67" s="692" t="inlineStr">
        <is>
          <t>PL 300401</t>
        </is>
      </c>
      <c r="D67" s="60" t="inlineStr">
        <is>
          <t>Digital Merchant Service Fee RENAME Income from Bill Payment (Agent)</t>
        </is>
      </c>
      <c r="E67" s="34" t="inlineStr">
        <is>
          <t>Fees due to 9PSB</t>
        </is>
      </c>
      <c r="F67" s="59" t="inlineStr">
        <is>
          <t>N30.00</t>
        </is>
      </c>
    </row>
    <row r="68">
      <c r="B68" s="48" t="inlineStr">
        <is>
          <t>DR</t>
        </is>
      </c>
      <c r="C68" s="49" t="inlineStr">
        <is>
          <t>AAAAAAAAAA</t>
        </is>
      </c>
      <c r="D68" s="49" t="inlineStr">
        <is>
          <t>Agent’s Account</t>
        </is>
      </c>
      <c r="E68" s="34" t="inlineStr">
        <is>
          <t>VAT on Fee due to 9PSB</t>
        </is>
      </c>
      <c r="F68" s="59" t="inlineStr">
        <is>
          <t>N2.25</t>
        </is>
      </c>
    </row>
    <row r="69">
      <c r="B69" s="48" t="inlineStr">
        <is>
          <t>CR</t>
        </is>
      </c>
      <c r="C69" s="49" t="n">
        <v>700506</v>
      </c>
      <c r="D69" s="49" t="inlineStr">
        <is>
          <t>VAT - Output</t>
        </is>
      </c>
      <c r="E69" s="34" t="inlineStr">
        <is>
          <t>VAT on Fee due to 9PSB</t>
        </is>
      </c>
      <c r="F69" s="59" t="inlineStr">
        <is>
          <t>N2.25</t>
        </is>
      </c>
    </row>
    <row r="70" ht="28" customHeight="1" s="581">
      <c r="B70" s="48" t="inlineStr">
        <is>
          <t>DR</t>
        </is>
      </c>
      <c r="C70" s="49" t="inlineStr">
        <is>
          <t>AAAAAAAAAA</t>
        </is>
      </c>
      <c r="D70" s="49" t="inlineStr">
        <is>
          <t>Agent’s Account</t>
        </is>
      </c>
      <c r="E70" s="38" t="inlineStr">
        <is>
          <t>Commission due to SLP subject to WHT</t>
        </is>
      </c>
      <c r="F70" s="59" t="inlineStr">
        <is>
          <t>N20.00</t>
        </is>
      </c>
    </row>
    <row r="71" ht="28.5" customHeight="1" s="581" thickBot="1">
      <c r="B71" s="53" t="inlineStr">
        <is>
          <t>CR</t>
        </is>
      </c>
      <c r="C71" s="61" t="inlineStr">
        <is>
          <t>GL 700313</t>
        </is>
      </c>
      <c r="D71" s="21" t="inlineStr">
        <is>
          <t>SLPBills Payment Fee Payable</t>
        </is>
      </c>
      <c r="E71" s="38" t="inlineStr">
        <is>
          <t>Commission due to SLP subject to WHT</t>
        </is>
      </c>
      <c r="F71" s="62" t="inlineStr">
        <is>
          <t>N20.00</t>
        </is>
      </c>
    </row>
    <row r="73" ht="15" customHeight="1" s="581" thickBot="1"/>
    <row r="74" ht="15" customHeight="1" s="581" thickBot="1">
      <c r="B74" s="572" t="inlineStr">
        <is>
          <t xml:space="preserve">(6) Airtime/Data Topup </t>
        </is>
      </c>
      <c r="C74" s="573" t="n"/>
      <c r="D74" s="573" t="n"/>
      <c r="E74" s="573" t="n"/>
      <c r="F74" s="574" t="n"/>
    </row>
    <row r="75" ht="28.5" customHeight="1" s="581" thickBot="1">
      <c r="B75" s="42" t="inlineStr">
        <is>
          <t>Type</t>
        </is>
      </c>
      <c r="C75" s="43" t="inlineStr">
        <is>
          <t>Account Number</t>
        </is>
      </c>
      <c r="D75" s="43" t="inlineStr">
        <is>
          <t>Name</t>
        </is>
      </c>
      <c r="E75" s="43" t="inlineStr">
        <is>
          <t>Amount</t>
        </is>
      </c>
      <c r="F75" s="43" t="inlineStr">
        <is>
          <t>Sample Values</t>
        </is>
      </c>
    </row>
    <row r="76" ht="15" customHeight="1" s="581" thickBot="1">
      <c r="B76" s="11" t="inlineStr">
        <is>
          <t>DR</t>
        </is>
      </c>
      <c r="C76" s="12" t="inlineStr">
        <is>
          <t>AAAAAAAAAA</t>
        </is>
      </c>
      <c r="D76" s="12" t="inlineStr">
        <is>
          <t>Agent’s Account</t>
        </is>
      </c>
      <c r="E76" s="12" t="inlineStr">
        <is>
          <t xml:space="preserve">Airtime/Data Amount </t>
        </is>
      </c>
      <c r="F76" s="12" t="inlineStr">
        <is>
          <t xml:space="preserve">Nxxx </t>
        </is>
      </c>
    </row>
    <row r="77" ht="28.5" customHeight="1" s="581" thickBot="1">
      <c r="B77" s="11" t="inlineStr">
        <is>
          <t>CR</t>
        </is>
      </c>
      <c r="C77" s="12" t="n">
        <v>700301</v>
      </c>
      <c r="D77" s="12" t="inlineStr">
        <is>
          <t>Settlement Acct-Merchant-Cloud Interactive</t>
        </is>
      </c>
      <c r="E77" s="12" t="inlineStr">
        <is>
          <t>Airtime/Data Amount</t>
        </is>
      </c>
      <c r="F77" s="12" t="inlineStr">
        <is>
          <t>Nxxx</t>
        </is>
      </c>
    </row>
    <row r="78" ht="28.5" customHeight="1" s="581" thickBot="1">
      <c r="B78" s="11" t="inlineStr">
        <is>
          <t>DR</t>
        </is>
      </c>
      <c r="C78" s="12" t="n">
        <v>700301</v>
      </c>
      <c r="D78" s="12" t="inlineStr">
        <is>
          <t>Settlement Acct-Merchant-Cloud Interactive</t>
        </is>
      </c>
      <c r="E78" s="12" t="inlineStr">
        <is>
          <t>0.015* Airtime/Data Amount</t>
        </is>
      </c>
      <c r="F78" s="12" t="inlineStr">
        <is>
          <t>0.015 * Nxxx</t>
        </is>
      </c>
    </row>
    <row r="79" ht="15" customHeight="1" s="581" thickBot="1">
      <c r="B79" s="11" t="inlineStr">
        <is>
          <t>CR</t>
        </is>
      </c>
      <c r="C79" s="12" t="inlineStr">
        <is>
          <t>AAAAAAAAAA</t>
        </is>
      </c>
      <c r="D79" s="12" t="inlineStr">
        <is>
          <t>Agent’s Account</t>
        </is>
      </c>
      <c r="E79" s="12" t="inlineStr">
        <is>
          <t>0.015* Airtime/Data Amount</t>
        </is>
      </c>
      <c r="F79" s="12" t="inlineStr">
        <is>
          <t>0.015 * Nxxx</t>
        </is>
      </c>
    </row>
  </sheetData>
  <mergeCells count="8">
    <mergeCell ref="B30:F30"/>
    <mergeCell ref="B43:F43"/>
    <mergeCell ref="B62:F62"/>
    <mergeCell ref="B16:F16"/>
    <mergeCell ref="B2:F2"/>
    <mergeCell ref="B1:D1"/>
    <mergeCell ref="B74:F74"/>
    <mergeCell ref="B49:F49"/>
  </mergeCells>
  <conditionalFormatting sqref="C37">
    <cfRule type="duplicateValues" priority="8" dxfId="0"/>
  </conditionalFormatting>
  <conditionalFormatting sqref="C67">
    <cfRule type="duplicateValues" priority="4" dxfId="0"/>
  </conditionalFormatting>
  <conditionalFormatting sqref="D37">
    <cfRule type="duplicateValues" priority="5" dxfId="0"/>
    <cfRule type="duplicateValues" priority="6" dxfId="0"/>
    <cfRule type="duplicateValues" priority="7" dxfId="0"/>
  </conditionalFormatting>
  <conditionalFormatting sqref="D67">
    <cfRule type="duplicateValues" priority="1" dxfId="0"/>
    <cfRule type="duplicateValues" priority="2" dxfId="0"/>
    <cfRule type="duplicateValues" priority="3" dxfId="0"/>
  </conditionalFormatting>
  <pageMargins left="0.7" right="0.7" top="0.75" bottom="0.75" header="0.3" footer="0.3"/>
  <pageSetup orientation="portrait"/>
</worksheet>
</file>

<file path=xl/worksheets/sheet6.xml><?xml version="1.0" encoding="utf-8"?>
<worksheet xmlns="http://schemas.openxmlformats.org/spreadsheetml/2006/main">
  <sheetPr>
    <tabColor theme="9"/>
    <outlinePr summaryBelow="1" summaryRight="1"/>
    <pageSetUpPr/>
  </sheetPr>
  <dimension ref="C2:H24"/>
  <sheetViews>
    <sheetView workbookViewId="0">
      <selection activeCell="G16" sqref="G16:G18"/>
    </sheetView>
  </sheetViews>
  <sheetFormatPr baseColWidth="8" defaultRowHeight="14.5"/>
  <cols>
    <col width="16.54296875" customWidth="1" style="581" min="3" max="3"/>
    <col width="18.1796875" bestFit="1" customWidth="1" style="581" min="4" max="4"/>
    <col width="30.1796875" bestFit="1" customWidth="1" style="581" min="5" max="5"/>
    <col width="30.453125" bestFit="1" customWidth="1" style="581" min="6" max="6"/>
    <col width="9.81640625" customWidth="1" style="581" min="7" max="7"/>
    <col width="11.54296875" customWidth="1" style="581" min="8" max="8"/>
  </cols>
  <sheetData>
    <row r="2">
      <c r="C2" s="580" t="inlineStr">
        <is>
          <t>TRANSACTION TYPE : CUSTOMER ONBOARDING</t>
        </is>
      </c>
    </row>
    <row r="3" ht="6.65" customHeight="1" s="581" thickBot="1"/>
    <row r="4" ht="15" customHeight="1" s="581" thickBot="1">
      <c r="C4" s="579" t="inlineStr">
        <is>
          <t>On Core Banking System</t>
        </is>
      </c>
      <c r="D4" s="573" t="n"/>
      <c r="E4" s="573" t="n"/>
      <c r="F4" s="573" t="n"/>
      <c r="G4" s="574" t="n"/>
    </row>
    <row r="5" ht="15" customHeight="1" s="581" thickBot="1">
      <c r="C5" s="94" t="inlineStr">
        <is>
          <t>Type</t>
        </is>
      </c>
      <c r="D5" s="95" t="inlineStr">
        <is>
          <t>Account Number</t>
        </is>
      </c>
      <c r="E5" s="95" t="inlineStr">
        <is>
          <t>Name</t>
        </is>
      </c>
      <c r="F5" s="95" t="inlineStr">
        <is>
          <t>Amount</t>
        </is>
      </c>
      <c r="G5" s="96" t="inlineStr">
        <is>
          <t>Value</t>
        </is>
      </c>
    </row>
    <row r="6">
      <c r="C6" s="98" t="inlineStr">
        <is>
          <t>DR</t>
        </is>
      </c>
      <c r="D6" s="83" t="inlineStr">
        <is>
          <t>PL600100</t>
        </is>
      </c>
      <c r="E6" s="83" t="inlineStr">
        <is>
          <t>Onboarding Cashback</t>
        </is>
      </c>
      <c r="F6" s="83" t="inlineStr">
        <is>
          <t>Onboarding Commission</t>
        </is>
      </c>
      <c r="G6" s="693" t="n">
        <v>150</v>
      </c>
    </row>
    <row r="7">
      <c r="C7" s="85" t="inlineStr">
        <is>
          <t>CR</t>
        </is>
      </c>
      <c r="D7" s="113" t="inlineStr">
        <is>
          <t>To be opened</t>
        </is>
      </c>
      <c r="E7" s="81" t="inlineStr">
        <is>
          <t>Float Account - Agent Banking</t>
        </is>
      </c>
      <c r="F7" s="81" t="inlineStr">
        <is>
          <t>Onboarding Commission</t>
        </is>
      </c>
      <c r="G7" s="694" t="n">
        <v>150</v>
      </c>
    </row>
    <row r="8">
      <c r="C8" s="85" t="inlineStr">
        <is>
          <t>DR</t>
        </is>
      </c>
      <c r="D8" s="113" t="inlineStr">
        <is>
          <t>To be opened</t>
        </is>
      </c>
      <c r="E8" s="81" t="inlineStr">
        <is>
          <t>Float Account - Agent Banking</t>
        </is>
      </c>
      <c r="F8" s="81" t="inlineStr">
        <is>
          <t>Onboarding Commission</t>
        </is>
      </c>
      <c r="G8" s="694" t="n">
        <v>5</v>
      </c>
    </row>
    <row r="9" ht="15" customHeight="1" s="581" thickBot="1">
      <c r="C9" s="114" t="inlineStr">
        <is>
          <t>CR</t>
        </is>
      </c>
      <c r="D9" s="115" t="n">
        <v>700516</v>
      </c>
      <c r="E9" s="115" t="inlineStr">
        <is>
          <t>WHT - Commission</t>
        </is>
      </c>
      <c r="F9" s="110" t="inlineStr">
        <is>
          <t>WHT on SLP Commission</t>
        </is>
      </c>
      <c r="G9" s="695" t="n">
        <v>5</v>
      </c>
    </row>
    <row r="12" ht="15" customHeight="1" s="581" thickBot="1"/>
    <row r="13" ht="15" customHeight="1" s="581" thickBot="1">
      <c r="C13" s="579" t="inlineStr">
        <is>
          <t>On CEVA's Agent Banking System</t>
        </is>
      </c>
      <c r="D13" s="573" t="n"/>
      <c r="E13" s="573" t="n"/>
      <c r="F13" s="573" t="n"/>
      <c r="G13" s="574" t="n"/>
    </row>
    <row r="14" ht="15" customHeight="1" s="581" thickBot="1">
      <c r="C14" s="94" t="inlineStr">
        <is>
          <t>Type</t>
        </is>
      </c>
      <c r="D14" s="95" t="inlineStr">
        <is>
          <t>Account Number</t>
        </is>
      </c>
      <c r="E14" s="95" t="inlineStr">
        <is>
          <t>Name</t>
        </is>
      </c>
      <c r="F14" s="95" t="inlineStr">
        <is>
          <t>Amount</t>
        </is>
      </c>
      <c r="G14" s="96" t="inlineStr">
        <is>
          <t>Value</t>
        </is>
      </c>
    </row>
    <row r="15">
      <c r="C15" s="91" t="inlineStr">
        <is>
          <t>DR</t>
        </is>
      </c>
      <c r="D15" s="92" t="inlineStr">
        <is>
          <t>CCCCCCCCCCC</t>
        </is>
      </c>
      <c r="E15" s="92" t="inlineStr">
        <is>
          <t>CEVA Wallet Suspense Account</t>
        </is>
      </c>
      <c r="F15" s="92" t="inlineStr">
        <is>
          <t>Onboarding Commission</t>
        </is>
      </c>
      <c r="G15" s="696" t="n">
        <v>150</v>
      </c>
    </row>
    <row r="16">
      <c r="C16" s="85" t="inlineStr">
        <is>
          <t>CR</t>
        </is>
      </c>
      <c r="D16" s="81" t="inlineStr">
        <is>
          <t>YYYYYYYYYY</t>
        </is>
      </c>
      <c r="E16" s="81" t="inlineStr">
        <is>
          <t xml:space="preserve">Agent's Wallet </t>
        </is>
      </c>
      <c r="F16" s="81" t="inlineStr">
        <is>
          <t>Part of Onboarding Commission</t>
        </is>
      </c>
      <c r="G16" s="694" t="n">
        <v>100</v>
      </c>
    </row>
    <row r="17">
      <c r="C17" s="99" t="inlineStr">
        <is>
          <t>CR</t>
        </is>
      </c>
      <c r="D17" s="112" t="inlineStr">
        <is>
          <t>SSSSSSSSSS</t>
        </is>
      </c>
      <c r="E17" s="100" t="inlineStr">
        <is>
          <t>SLP Commission Wallet</t>
        </is>
      </c>
      <c r="F17" s="100" t="inlineStr">
        <is>
          <t>Part of Onboarding Commission</t>
        </is>
      </c>
      <c r="G17" s="697" t="n">
        <v>45</v>
      </c>
    </row>
    <row r="18" ht="15" customHeight="1" s="581" thickBot="1">
      <c r="C18" s="87" t="inlineStr">
        <is>
          <t>CR</t>
        </is>
      </c>
      <c r="D18" s="88" t="inlineStr">
        <is>
          <t>WHWHWHWHWH</t>
        </is>
      </c>
      <c r="E18" s="89" t="inlineStr">
        <is>
          <t>WHT - Commission</t>
        </is>
      </c>
      <c r="F18" s="89" t="inlineStr">
        <is>
          <t>WHT on SLP Commission</t>
        </is>
      </c>
      <c r="G18" s="698" t="n">
        <v>5</v>
      </c>
    </row>
    <row r="20" ht="15" customHeight="1" s="581" thickBot="1"/>
    <row r="21" ht="15" customHeight="1" s="581" thickBot="1">
      <c r="C21" s="582" t="inlineStr">
        <is>
          <t>Settlement in CEVA Wallet</t>
        </is>
      </c>
      <c r="D21" s="559" t="n"/>
      <c r="E21" s="559" t="n"/>
      <c r="F21" s="578" t="n"/>
    </row>
    <row r="22">
      <c r="C22" s="116" t="inlineStr">
        <is>
          <t>Type</t>
        </is>
      </c>
      <c r="D22" s="117" t="inlineStr">
        <is>
          <t>Account Number</t>
        </is>
      </c>
      <c r="E22" s="117" t="inlineStr">
        <is>
          <t>Name</t>
        </is>
      </c>
      <c r="F22" s="117" t="inlineStr">
        <is>
          <t>Amount</t>
        </is>
      </c>
      <c r="G22" s="118" t="inlineStr">
        <is>
          <t>Value</t>
        </is>
      </c>
    </row>
    <row r="23">
      <c r="C23" s="85" t="inlineStr">
        <is>
          <t>DR</t>
        </is>
      </c>
      <c r="D23" s="82" t="n">
        <v>700516</v>
      </c>
      <c r="E23" s="81" t="inlineStr">
        <is>
          <t>WHT - Commission</t>
        </is>
      </c>
      <c r="F23" s="81" t="inlineStr">
        <is>
          <t>WHT on SLP Commission</t>
        </is>
      </c>
      <c r="G23" s="694" t="n">
        <v>5</v>
      </c>
    </row>
    <row r="24" ht="15" customHeight="1" s="581" thickBot="1">
      <c r="C24" s="4" t="inlineStr">
        <is>
          <t>CR</t>
        </is>
      </c>
      <c r="D24" s="89" t="inlineStr">
        <is>
          <t>WWWWWWWWWW</t>
        </is>
      </c>
      <c r="E24" s="89" t="inlineStr">
        <is>
          <t>CEVA Wallet Suspense Account</t>
        </is>
      </c>
      <c r="F24" s="109" t="inlineStr">
        <is>
          <t>Part fees</t>
        </is>
      </c>
      <c r="G24" s="698" t="n">
        <v>5</v>
      </c>
    </row>
  </sheetData>
  <mergeCells count="4">
    <mergeCell ref="C13:G13"/>
    <mergeCell ref="C4:G4"/>
    <mergeCell ref="C2:H2"/>
    <mergeCell ref="C21:F21"/>
  </mergeCells>
  <pageMargins left="0.7" right="0.7" top="0.75" bottom="0.75" header="0.3" footer="0.3"/>
  <pageSetup orientation="portrait" paperSize="9"/>
</worksheet>
</file>

<file path=xl/worksheets/sheet7.xml><?xml version="1.0" encoding="utf-8"?>
<worksheet xmlns="http://schemas.openxmlformats.org/spreadsheetml/2006/main">
  <sheetPr>
    <tabColor theme="5"/>
    <outlinePr summaryBelow="1" summaryRight="1"/>
    <pageSetUpPr fitToPage="1"/>
  </sheetPr>
  <dimension ref="B1:O69"/>
  <sheetViews>
    <sheetView zoomScale="73" zoomScaleNormal="100" workbookViewId="0">
      <selection activeCell="D11" sqref="D11"/>
    </sheetView>
  </sheetViews>
  <sheetFormatPr baseColWidth="8" defaultRowHeight="13.5"/>
  <cols>
    <col width="5.26953125" customWidth="1" style="563" min="1" max="1"/>
    <col width="14.26953125" bestFit="1" customWidth="1" style="142" min="2" max="2"/>
    <col width="14.54296875" bestFit="1" customWidth="1" style="563" min="3" max="3"/>
    <col width="19.36328125" customWidth="1" style="563" min="4" max="4"/>
    <col width="15.26953125" customWidth="1" style="563" min="5" max="6"/>
    <col width="13.7265625" customWidth="1" style="563" min="7" max="7"/>
    <col width="14.54296875" customWidth="1" style="563" min="8" max="8"/>
    <col width="8.7265625" customWidth="1" style="563" min="9" max="9"/>
    <col width="14" bestFit="1" customWidth="1" style="563" min="10" max="10"/>
    <col width="8.7265625" customWidth="1" style="563" min="11" max="11"/>
    <col width="8.7265625" customWidth="1" style="563" min="12" max="16384"/>
  </cols>
  <sheetData>
    <row r="1" customFormat="1" s="145">
      <c r="B1" s="144" t="inlineStr">
        <is>
          <t>Key Notes:</t>
        </is>
      </c>
      <c r="C1" s="144" t="n"/>
      <c r="D1" s="144" t="n"/>
      <c r="E1" s="144" t="n"/>
      <c r="F1" s="144" t="n"/>
      <c r="G1" s="144" t="n"/>
      <c r="H1" s="144" t="n"/>
    </row>
    <row r="2" customFormat="1" s="584">
      <c r="B2" s="583" t="inlineStr">
        <is>
          <t>1. Agents are charged based on the highest limit per band (even when the transaction amount falls within the band i.e. for transaction of N2,400; N3,000 will be used to compute the fees)</t>
        </is>
      </c>
    </row>
    <row r="3" customFormat="1" s="584">
      <c r="B3" s="583" t="inlineStr">
        <is>
          <t>2. All charges are VAT-inclusive</t>
        </is>
      </c>
    </row>
    <row r="4" customFormat="1" s="584">
      <c r="B4" s="583" t="inlineStr">
        <is>
          <t>3. Fees to 9PSB should be computed as the difference between the total fee charged and summation of fees due to other stakeholders</t>
        </is>
      </c>
    </row>
    <row r="5" customFormat="1" s="584">
      <c r="B5" s="583" t="inlineStr">
        <is>
          <t>4. 7.5% VAT should be calculated and deducted from fees due to 9PSB.</t>
        </is>
      </c>
    </row>
    <row r="6" customFormat="1" s="584">
      <c r="B6" s="583" t="inlineStr">
        <is>
          <t>5. There is no cashback for a Silver Agent</t>
        </is>
      </c>
    </row>
    <row r="7" ht="17.5" customHeight="1" s="581" thickBot="1">
      <c r="B7" s="699" t="inlineStr">
        <is>
          <t>6. Processor fee basis: the processor fee (ISW, or ZONE in the ZONE-processor table) is charged at its rate on the ACTUAL transaction amount, not on the band's highest limit. Because the agent is charged on the band's highest limit (see Note 1) while the processor fee scales with the actual amount, the ISW/ZONE and 9PSB columns below show the BAND-CEILING case (maximum processor fee, minimum 9PSB). For any transaction below the band's highest limit, the actual ISW/ZONE fee is proportionally lower and 9PSB's margin is correspondingly higher than the figure shown.</t>
        </is>
      </c>
      <c r="I7" s="661" t="n"/>
    </row>
    <row r="8" ht="17.5" customHeight="1" s="581" thickBot="1">
      <c r="B8" s="585" t="inlineStr">
        <is>
          <t>CARD WITHDRAWAL CHARGE SPLIT FOR SILVER AGENT WITH ISW AS A PROCESSOR</t>
        </is>
      </c>
      <c r="C8" s="573" t="n"/>
      <c r="D8" s="573" t="n"/>
      <c r="E8" s="573" t="n"/>
      <c r="F8" s="573" t="n"/>
      <c r="G8" s="573" t="n"/>
      <c r="H8" s="574" t="n"/>
      <c r="I8" s="661" t="n"/>
    </row>
    <row r="9" ht="27.5" customFormat="1" customHeight="1" s="2" thickBot="1">
      <c r="B9" s="149" t="inlineStr">
        <is>
          <t>Lowest Limit</t>
        </is>
      </c>
      <c r="C9" s="95" t="inlineStr">
        <is>
          <t>Highest Limit</t>
        </is>
      </c>
      <c r="D9" s="150" t="inlineStr">
        <is>
          <t>Total Charge 
(VAT Inclusive)</t>
        </is>
      </c>
      <c r="E9" s="150" t="inlineStr">
        <is>
          <t>ISW</t>
        </is>
      </c>
      <c r="F9" s="274" t="inlineStr">
        <is>
          <t>SLP (where applicable)</t>
        </is>
      </c>
      <c r="G9" s="149" t="inlineStr">
        <is>
          <t>9PSB</t>
        </is>
      </c>
      <c r="H9" s="96" t="inlineStr">
        <is>
          <t>7.5% VAT</t>
        </is>
      </c>
      <c r="J9" s="563" t="n"/>
    </row>
    <row r="10">
      <c r="B10" s="700" t="n">
        <v>100</v>
      </c>
      <c r="C10" s="701" t="n">
        <v>1000</v>
      </c>
      <c r="D10" s="702">
        <f>IF(0.005*C10&gt;100,100,0.005*C10)</f>
        <v/>
      </c>
      <c r="E10" s="703">
        <f>IF(0.003225*C10&gt;21.5,21.5,0.003225*C10)</f>
        <v/>
      </c>
      <c r="F10" s="704">
        <f>IF(C10*0.0004&gt;25,25,C10*0.0004)</f>
        <v/>
      </c>
      <c r="G10" s="705">
        <f>(D10-E10-F10)*100/107.5</f>
        <v/>
      </c>
      <c r="H10" s="706">
        <f>7.5%*G10</f>
        <v/>
      </c>
      <c r="I10" s="661" t="n"/>
      <c r="J10" s="707" t="n"/>
    </row>
    <row r="11">
      <c r="B11" s="708" t="n">
        <v>1001</v>
      </c>
      <c r="C11" s="709" t="n">
        <v>2000</v>
      </c>
      <c r="D11" s="710">
        <f>IF(0.005*C11&gt;100,100,0.005*C11)</f>
        <v/>
      </c>
      <c r="E11" s="711">
        <f>IF(0.003225*C11&gt;21.5,21.5,0.003225*C11)</f>
        <v/>
      </c>
      <c r="F11" s="712">
        <f>IF(C11*0.0004&gt;25,25,C11*0.0004)</f>
        <v/>
      </c>
      <c r="G11" s="713">
        <f>(D11-E11-F11)*100/107.5</f>
        <v/>
      </c>
      <c r="H11" s="714">
        <f>7.5%*G11</f>
        <v/>
      </c>
      <c r="I11" s="661" t="n"/>
    </row>
    <row r="12">
      <c r="B12" s="708" t="n">
        <v>2001</v>
      </c>
      <c r="C12" s="709" t="n">
        <v>3000</v>
      </c>
      <c r="D12" s="710">
        <f>IF(0.005*C12&gt;100,100,0.005*C12)</f>
        <v/>
      </c>
      <c r="E12" s="711">
        <f>IF(0.003225*C12&gt;21.5,21.5,0.003225*C12)</f>
        <v/>
      </c>
      <c r="F12" s="712">
        <f>IF(C12*0.0004&gt;25,25,C12*0.0004)</f>
        <v/>
      </c>
      <c r="G12" s="713">
        <f>(D12-E12-F12)*100/107.5</f>
        <v/>
      </c>
      <c r="H12" s="714">
        <f>7.5%*G12</f>
        <v/>
      </c>
      <c r="I12" s="661" t="n"/>
      <c r="J12" s="164" t="n"/>
    </row>
    <row r="13">
      <c r="B13" s="708" t="n">
        <v>3001</v>
      </c>
      <c r="C13" s="709" t="n">
        <v>4000</v>
      </c>
      <c r="D13" s="710">
        <f>IF(0.005*C13&gt;100,100,0.005*C13)</f>
        <v/>
      </c>
      <c r="E13" s="711">
        <f>IF(0.003225*C13&gt;21.5,21.5,0.003225*C13)</f>
        <v/>
      </c>
      <c r="F13" s="712">
        <f>IF(C13*0.0004&gt;25,25,C13*0.0004)</f>
        <v/>
      </c>
      <c r="G13" s="713">
        <f>(D13-E13-F13)*100/107.5</f>
        <v/>
      </c>
      <c r="H13" s="714">
        <f>7.5%*G13</f>
        <v/>
      </c>
      <c r="I13" s="661" t="n"/>
    </row>
    <row r="14">
      <c r="B14" s="708" t="n">
        <v>4001</v>
      </c>
      <c r="C14" s="709" t="n">
        <v>5000</v>
      </c>
      <c r="D14" s="710">
        <f>IF(0.005*C14&gt;100,100,0.005*C14)</f>
        <v/>
      </c>
      <c r="E14" s="711">
        <f>IF(0.003225*C14&gt;21.5,21.5,0.003225*C14)</f>
        <v/>
      </c>
      <c r="F14" s="712">
        <f>IF(C14*0.0004&gt;25,25,C14*0.0004)</f>
        <v/>
      </c>
      <c r="G14" s="713">
        <f>(D14-E14-F14)*100/107.5</f>
        <v/>
      </c>
      <c r="H14" s="714">
        <f>7.5%*G14</f>
        <v/>
      </c>
      <c r="I14" s="661" t="n"/>
    </row>
    <row r="15">
      <c r="B15" s="708" t="n">
        <v>5001</v>
      </c>
      <c r="C15" s="709" t="n">
        <v>6000</v>
      </c>
      <c r="D15" s="710">
        <f>IF(0.005*C15&gt;100,100,0.005*C15)</f>
        <v/>
      </c>
      <c r="E15" s="711">
        <f>IF(0.003225*C15&gt;21.5,21.5,0.003225*C15)</f>
        <v/>
      </c>
      <c r="F15" s="712">
        <f>IF(C15*0.0004&gt;25,25,C15*0.0004)</f>
        <v/>
      </c>
      <c r="G15" s="713">
        <f>(D15-E15-F15)*100/107.5</f>
        <v/>
      </c>
      <c r="H15" s="714">
        <f>7.5%*G15</f>
        <v/>
      </c>
      <c r="I15" s="661" t="n"/>
    </row>
    <row r="16">
      <c r="B16" s="708" t="n">
        <v>6001</v>
      </c>
      <c r="C16" s="709" t="n">
        <v>7000</v>
      </c>
      <c r="D16" s="710">
        <f>IF(0.005*C16&gt;100,100,0.005*C16)</f>
        <v/>
      </c>
      <c r="E16" s="711">
        <f>IF(0.003225*C16&gt;21.5,21.5,0.003225*C16)</f>
        <v/>
      </c>
      <c r="F16" s="712">
        <f>IF(C16*0.0004&gt;25,25,C16*0.0004)</f>
        <v/>
      </c>
      <c r="G16" s="713">
        <f>(D16-E16-F16)*100/107.5</f>
        <v/>
      </c>
      <c r="H16" s="714">
        <f>7.5%*G16</f>
        <v/>
      </c>
      <c r="I16" s="661" t="n"/>
    </row>
    <row r="17">
      <c r="B17" s="708" t="n">
        <v>7001</v>
      </c>
      <c r="C17" s="709" t="n">
        <v>8000</v>
      </c>
      <c r="D17" s="710">
        <f>IF(0.005*C17&gt;100,100,0.005*C17)</f>
        <v/>
      </c>
      <c r="E17" s="711">
        <f>IF(0.003225*C17&gt;21.5,21.5,0.003225*C17)</f>
        <v/>
      </c>
      <c r="F17" s="712">
        <f>IF(C17*0.0004&gt;25,25,C17*0.0004)</f>
        <v/>
      </c>
      <c r="G17" s="713">
        <f>(D17-E17-F17)*100/107.5</f>
        <v/>
      </c>
      <c r="H17" s="714">
        <f>7.5%*G17</f>
        <v/>
      </c>
      <c r="I17" s="661" t="n"/>
    </row>
    <row r="18">
      <c r="B18" s="708" t="n">
        <v>8001</v>
      </c>
      <c r="C18" s="709" t="n">
        <v>9000</v>
      </c>
      <c r="D18" s="710">
        <f>IF(0.005*C18&gt;100,100,0.005*C18)</f>
        <v/>
      </c>
      <c r="E18" s="711">
        <f>IF(0.003225*C18&gt;21.5,21.5,0.003225*C18)</f>
        <v/>
      </c>
      <c r="F18" s="712">
        <f>IF(C18*0.0004&gt;25,25,C18*0.0004)</f>
        <v/>
      </c>
      <c r="G18" s="713">
        <f>(D18-E18-F18)*100/107.5</f>
        <v/>
      </c>
      <c r="H18" s="714">
        <f>7.5%*G18</f>
        <v/>
      </c>
      <c r="I18" s="661" t="n"/>
    </row>
    <row r="19">
      <c r="B19" s="708" t="n">
        <v>9001</v>
      </c>
      <c r="C19" s="709" t="n">
        <v>10000</v>
      </c>
      <c r="D19" s="710">
        <f>IF(0.005*C19&gt;100,100,0.005*C19)</f>
        <v/>
      </c>
      <c r="E19" s="711">
        <f>IF(0.003225*C19&gt;21.5,21.5,0.003225*C19)</f>
        <v/>
      </c>
      <c r="F19" s="712">
        <f>IF(C19*0.0004&gt;25,25,C19*0.0004)</f>
        <v/>
      </c>
      <c r="G19" s="713">
        <f>(D19-E19-F19)*100/107.5</f>
        <v/>
      </c>
      <c r="H19" s="714">
        <f>7.5%*G19</f>
        <v/>
      </c>
      <c r="I19" s="661" t="n"/>
    </row>
    <row r="20">
      <c r="B20" s="708" t="n">
        <v>10001</v>
      </c>
      <c r="C20" s="709" t="n">
        <v>11000</v>
      </c>
      <c r="D20" s="710">
        <f>IF(0.005*C20&gt;100,100,0.005*C20)</f>
        <v/>
      </c>
      <c r="E20" s="711">
        <f>IF(0.003225*C20&gt;21.5,21.5,0.003225*C20)</f>
        <v/>
      </c>
      <c r="F20" s="712">
        <f>IF(C20*0.0004&gt;25,25,C20*0.0004)</f>
        <v/>
      </c>
      <c r="G20" s="713">
        <f>(D20-E20-F20)*100/107.5</f>
        <v/>
      </c>
      <c r="H20" s="714">
        <f>7.5%*G20</f>
        <v/>
      </c>
      <c r="I20" s="661" t="n"/>
    </row>
    <row r="21">
      <c r="B21" s="708" t="n">
        <v>11001</v>
      </c>
      <c r="C21" s="709" t="n">
        <v>12000</v>
      </c>
      <c r="D21" s="710">
        <f>IF(0.005*C21&gt;100,100,0.005*C21)</f>
        <v/>
      </c>
      <c r="E21" s="711">
        <f>IF(0.003225*C21&gt;21.5,21.5,0.003225*C21)</f>
        <v/>
      </c>
      <c r="F21" s="712">
        <f>IF(C21*0.0004&gt;25,25,C21*0.0004)</f>
        <v/>
      </c>
      <c r="G21" s="713">
        <f>(D21-E21-F21)*100/107.5</f>
        <v/>
      </c>
      <c r="H21" s="714">
        <f>7.5%*G21</f>
        <v/>
      </c>
      <c r="I21" s="661" t="n"/>
    </row>
    <row r="22">
      <c r="B22" s="708" t="n">
        <v>12001</v>
      </c>
      <c r="C22" s="709" t="n">
        <v>13000</v>
      </c>
      <c r="D22" s="710">
        <f>IF(0.005*C22&gt;100,100,0.005*C22)</f>
        <v/>
      </c>
      <c r="E22" s="711">
        <f>IF(0.003225*C22&gt;21.5,21.5,0.003225*C22)</f>
        <v/>
      </c>
      <c r="F22" s="712">
        <f>IF(C22*0.0004&gt;25,25,C22*0.0004)</f>
        <v/>
      </c>
      <c r="G22" s="713">
        <f>(D22-E22-F22)*100/107.5</f>
        <v/>
      </c>
      <c r="H22" s="714">
        <f>7.5%*G22</f>
        <v/>
      </c>
      <c r="I22" s="661" t="n"/>
    </row>
    <row r="23">
      <c r="B23" s="708" t="n">
        <v>13001</v>
      </c>
      <c r="C23" s="709" t="n">
        <v>14000</v>
      </c>
      <c r="D23" s="710">
        <f>IF(0.005*C23&gt;100,100,0.005*C23)</f>
        <v/>
      </c>
      <c r="E23" s="711">
        <f>IF(0.003225*C23&gt;21.5,21.5,0.003225*C23)</f>
        <v/>
      </c>
      <c r="F23" s="712">
        <f>IF(C23*0.0004&gt;25,25,C23*0.0004)</f>
        <v/>
      </c>
      <c r="G23" s="713">
        <f>(D23-E23-F23)*100/107.5</f>
        <v/>
      </c>
      <c r="H23" s="714">
        <f>7.5%*G23</f>
        <v/>
      </c>
      <c r="I23" s="661" t="n"/>
    </row>
    <row r="24">
      <c r="B24" s="708" t="n">
        <v>14001</v>
      </c>
      <c r="C24" s="709" t="n">
        <v>15000</v>
      </c>
      <c r="D24" s="710">
        <f>IF(0.005*C24&gt;100,100,0.005*C24)</f>
        <v/>
      </c>
      <c r="E24" s="711">
        <f>IF(0.003225*C24&gt;21.5,21.5,0.003225*C24)</f>
        <v/>
      </c>
      <c r="F24" s="712">
        <f>IF(C24*0.0004&gt;25,25,C24*0.0004)</f>
        <v/>
      </c>
      <c r="G24" s="713">
        <f>(D24-E24-F24)*100/107.5</f>
        <v/>
      </c>
      <c r="H24" s="714">
        <f>7.5%*G24</f>
        <v/>
      </c>
      <c r="I24" s="661" t="n"/>
    </row>
    <row r="25">
      <c r="B25" s="708" t="n">
        <v>15001</v>
      </c>
      <c r="C25" s="709" t="n">
        <v>16000</v>
      </c>
      <c r="D25" s="710">
        <f>IF(0.005*C25&gt;100,100,0.005*C25)</f>
        <v/>
      </c>
      <c r="E25" s="711">
        <f>IF(0.003225*C25&gt;21.5,21.5,0.003225*C25)</f>
        <v/>
      </c>
      <c r="F25" s="712">
        <f>IF(C25*0.0004&gt;25,25,C25*0.0004)</f>
        <v/>
      </c>
      <c r="G25" s="713">
        <f>(D25-E25-F25)*100/107.5</f>
        <v/>
      </c>
      <c r="H25" s="714">
        <f>7.5%*G25</f>
        <v/>
      </c>
      <c r="I25" s="661" t="n"/>
    </row>
    <row r="26">
      <c r="B26" s="708" t="n">
        <v>16001</v>
      </c>
      <c r="C26" s="709" t="n">
        <v>17000</v>
      </c>
      <c r="D26" s="710">
        <f>IF(0.005*C26&gt;100,100,0.005*C26)</f>
        <v/>
      </c>
      <c r="E26" s="711">
        <f>IF(0.003225*C26&gt;21.5,21.5,0.003225*C26)</f>
        <v/>
      </c>
      <c r="F26" s="712">
        <f>IF(C26*0.0004&gt;25,25,C26*0.0004)</f>
        <v/>
      </c>
      <c r="G26" s="713">
        <f>(D26-E26-F26)*100/107.5</f>
        <v/>
      </c>
      <c r="H26" s="714">
        <f>7.5%*G26</f>
        <v/>
      </c>
      <c r="I26" s="661" t="n"/>
    </row>
    <row r="27">
      <c r="B27" s="708" t="n">
        <v>17001</v>
      </c>
      <c r="C27" s="709" t="n">
        <v>18000</v>
      </c>
      <c r="D27" s="710">
        <f>IF(0.005*C27&gt;100,100,0.005*C27)</f>
        <v/>
      </c>
      <c r="E27" s="711">
        <f>IF(0.003225*C27&gt;21.5,21.5,0.003225*C27)</f>
        <v/>
      </c>
      <c r="F27" s="712">
        <f>IF(C27*0.0004&gt;25,25,C27*0.0004)</f>
        <v/>
      </c>
      <c r="G27" s="713">
        <f>(D27-E27-F27)*100/107.5</f>
        <v/>
      </c>
      <c r="H27" s="714">
        <f>7.5%*G27</f>
        <v/>
      </c>
      <c r="I27" s="661" t="n"/>
    </row>
    <row r="28">
      <c r="B28" s="708" t="n">
        <v>18001</v>
      </c>
      <c r="C28" s="709" t="n">
        <v>19000</v>
      </c>
      <c r="D28" s="710">
        <f>IF(0.005*C28&gt;100,100,0.005*C28)</f>
        <v/>
      </c>
      <c r="E28" s="711">
        <f>IF(0.003225*C28&gt;21.5,21.5,0.003225*C28)</f>
        <v/>
      </c>
      <c r="F28" s="712">
        <f>IF(C28*0.0004&gt;25,25,C28*0.0004)</f>
        <v/>
      </c>
      <c r="G28" s="713">
        <f>(D28-E28-F28)*100/107.5</f>
        <v/>
      </c>
      <c r="H28" s="714">
        <f>7.5%*G28</f>
        <v/>
      </c>
      <c r="I28" s="661" t="n"/>
    </row>
    <row r="29">
      <c r="B29" s="708" t="n">
        <v>19001</v>
      </c>
      <c r="C29" s="709" t="n">
        <v>20000</v>
      </c>
      <c r="D29" s="710">
        <f>IF(0.005*C29&gt;100,100,0.005*C29)</f>
        <v/>
      </c>
      <c r="E29" s="711">
        <f>IF(0.003225*C29&gt;21.5,21.5,0.003225*C29)</f>
        <v/>
      </c>
      <c r="F29" s="712">
        <f>IF(C29*0.0004&gt;25,25,C29*0.0004)</f>
        <v/>
      </c>
      <c r="G29" s="713">
        <f>(D29-E29-F29)*100/107.5</f>
        <v/>
      </c>
      <c r="H29" s="714">
        <f>7.5%*G29</f>
        <v/>
      </c>
      <c r="I29" s="661" t="n"/>
    </row>
    <row r="30">
      <c r="B30" s="708" t="n">
        <v>20001</v>
      </c>
      <c r="C30" s="709" t="n">
        <v>30000</v>
      </c>
      <c r="D30" s="710">
        <f>IF(0.005*C30&gt;100,100,0.005*C30)</f>
        <v/>
      </c>
      <c r="E30" s="711">
        <f>IF(0.003225*C30&gt;21.5,21.5,0.003225*C30)</f>
        <v/>
      </c>
      <c r="F30" s="712">
        <f>IF(C30*0.0004&gt;25,25,C30*0.0004)</f>
        <v/>
      </c>
      <c r="G30" s="713">
        <f>(D30-E30-F30)*100/107.5</f>
        <v/>
      </c>
      <c r="H30" s="714">
        <f>7.5%*G30</f>
        <v/>
      </c>
      <c r="I30" s="661" t="n"/>
    </row>
    <row r="31">
      <c r="B31" s="708" t="n">
        <v>30001</v>
      </c>
      <c r="C31" s="709" t="n">
        <v>40000</v>
      </c>
      <c r="D31" s="710">
        <f>IF(0.005*C31&gt;100,100,0.005*C31)</f>
        <v/>
      </c>
      <c r="E31" s="711">
        <f>IF(0.003225*C31&gt;21.5,21.5,0.003225*C31)</f>
        <v/>
      </c>
      <c r="F31" s="712">
        <f>IF(C31*0.0004&gt;25,25,C31*0.0004)</f>
        <v/>
      </c>
      <c r="G31" s="713">
        <f>(D31-E31-F31)*100/107.5</f>
        <v/>
      </c>
      <c r="H31" s="714">
        <f>7.5%*G31</f>
        <v/>
      </c>
      <c r="I31" s="661" t="n"/>
    </row>
    <row r="32">
      <c r="B32" s="708" t="n">
        <v>40001</v>
      </c>
      <c r="C32" s="709" t="n">
        <v>50000</v>
      </c>
      <c r="D32" s="710">
        <f>IF(0.005*C32&gt;100,100,0.005*C32)</f>
        <v/>
      </c>
      <c r="E32" s="711">
        <f>IF(0.003225*C32&gt;21.5,21.5,0.003225*C32)</f>
        <v/>
      </c>
      <c r="F32" s="712">
        <f>IF(C32*0.0004&gt;25,25,C32*0.0004)</f>
        <v/>
      </c>
      <c r="G32" s="713">
        <f>(D32-E32-F32)*100/107.5</f>
        <v/>
      </c>
      <c r="H32" s="714">
        <f>7.5%*G32</f>
        <v/>
      </c>
      <c r="I32" s="661" t="n"/>
    </row>
    <row r="33">
      <c r="B33" s="708" t="n">
        <v>50001</v>
      </c>
      <c r="C33" s="709" t="n">
        <v>60000</v>
      </c>
      <c r="D33" s="710">
        <f>IF(0.005*C33&gt;100,100,0.005*C33)</f>
        <v/>
      </c>
      <c r="E33" s="711">
        <f>IF(0.003225*C33&gt;21.5,21.5,0.003225*C33)</f>
        <v/>
      </c>
      <c r="F33" s="712">
        <f>IF(C33*0.0004&gt;25,25,C33*0.0004)</f>
        <v/>
      </c>
      <c r="G33" s="713">
        <f>(D33-E33-F33)*100/107.5</f>
        <v/>
      </c>
      <c r="H33" s="714">
        <f>7.5%*G33</f>
        <v/>
      </c>
      <c r="I33" s="661" t="n"/>
    </row>
    <row r="34">
      <c r="B34" s="708" t="n">
        <v>60001</v>
      </c>
      <c r="C34" s="709" t="n">
        <v>70000</v>
      </c>
      <c r="D34" s="710">
        <f>IF(0.005*C34&gt;100,100,0.005*C34)</f>
        <v/>
      </c>
      <c r="E34" s="711">
        <f>IF(0.003225*C34&gt;21.5,21.5,0.003225*C34)</f>
        <v/>
      </c>
      <c r="F34" s="712">
        <f>IF(C34*0.0004&gt;25,25,C34*0.0004)</f>
        <v/>
      </c>
      <c r="G34" s="713">
        <f>(D34-E34-F34)*100/107.5</f>
        <v/>
      </c>
      <c r="H34" s="714">
        <f>7.5%*G34</f>
        <v/>
      </c>
      <c r="I34" s="661" t="n"/>
    </row>
    <row r="35">
      <c r="B35" s="708" t="n">
        <v>70001</v>
      </c>
      <c r="C35" s="709" t="n">
        <v>80000</v>
      </c>
      <c r="D35" s="710">
        <f>IF(0.005*C35&gt;100,100,0.005*C35)</f>
        <v/>
      </c>
      <c r="E35" s="711">
        <f>IF(0.003225*C35&gt;21.5,21.5,0.003225*C35)</f>
        <v/>
      </c>
      <c r="F35" s="712">
        <f>IF(C35*0.0004&gt;25,25,C35*0.0004)</f>
        <v/>
      </c>
      <c r="G35" s="713">
        <f>(D35-E35-F35)*100/107.5</f>
        <v/>
      </c>
      <c r="H35" s="714">
        <f>7.5%*G35</f>
        <v/>
      </c>
      <c r="I35" s="661" t="n"/>
    </row>
    <row r="36">
      <c r="B36" s="708" t="n">
        <v>80001</v>
      </c>
      <c r="C36" s="709" t="n">
        <v>90000</v>
      </c>
      <c r="D36" s="710">
        <f>IF(0.005*C36&gt;100,100,0.005*C36)</f>
        <v/>
      </c>
      <c r="E36" s="711">
        <f>IF(0.003225*C36&gt;21.5,21.5,0.003225*C36)</f>
        <v/>
      </c>
      <c r="F36" s="712">
        <f>IF(C36*0.0004&gt;25,25,C36*0.0004)</f>
        <v/>
      </c>
      <c r="G36" s="713">
        <f>(D36-E36-F36)*100/107.5</f>
        <v/>
      </c>
      <c r="H36" s="714">
        <f>7.5%*G36</f>
        <v/>
      </c>
      <c r="I36" s="661" t="n"/>
    </row>
    <row r="37" ht="14" customHeight="1" s="581" thickBot="1">
      <c r="B37" s="715" t="n">
        <v>90001</v>
      </c>
      <c r="C37" s="716" t="n">
        <v>100000</v>
      </c>
      <c r="D37" s="717">
        <f>IF(0.005*C37&gt;100,100,0.005*C37)</f>
        <v/>
      </c>
      <c r="E37" s="718">
        <f>IF(0.003225*C37&gt;21.5,21.5,0.003225*C37)</f>
        <v/>
      </c>
      <c r="F37" s="719">
        <f>IF(C37*0.0004&gt;25,25,C37*0.0004)</f>
        <v/>
      </c>
      <c r="G37" s="720">
        <f>(D37-E37-F37)*100/107.5</f>
        <v/>
      </c>
      <c r="H37" s="721">
        <f>7.5%*G37</f>
        <v/>
      </c>
      <c r="I37" s="661" t="n"/>
    </row>
    <row r="40" hidden="1" ht="14" customHeight="1" s="581" thickBot="1">
      <c r="B40" s="585" t="inlineStr">
        <is>
          <t>CARD WITHDRAWAL CHARGE SPLIT FOR SILVER AGENT WITH ZONE AS A PROCESSOR</t>
        </is>
      </c>
      <c r="C40" s="573" t="n"/>
      <c r="D40" s="573" t="n"/>
      <c r="E40" s="573" t="n"/>
      <c r="F40" s="573" t="n"/>
      <c r="G40" s="573" t="n"/>
      <c r="H40" s="574" t="n"/>
    </row>
    <row r="41" hidden="1" ht="27.5" customFormat="1" customHeight="1" s="2" thickBot="1">
      <c r="B41" s="149" t="inlineStr">
        <is>
          <t>Lowest Limit</t>
        </is>
      </c>
      <c r="C41" s="95" t="inlineStr">
        <is>
          <t>Highest Limit</t>
        </is>
      </c>
      <c r="D41" s="150" t="inlineStr">
        <is>
          <t>Total Charge 
(VAT Inclusive)</t>
        </is>
      </c>
      <c r="E41" s="150" t="inlineStr">
        <is>
          <t>ZONE</t>
        </is>
      </c>
      <c r="F41" s="274" t="inlineStr">
        <is>
          <t>SLP (where applicable)</t>
        </is>
      </c>
      <c r="G41" s="149" t="inlineStr">
        <is>
          <t>9PSB</t>
        </is>
      </c>
      <c r="H41" s="96" t="inlineStr">
        <is>
          <t>7.5% VAT</t>
        </is>
      </c>
      <c r="J41" s="563" t="n"/>
    </row>
    <row r="42" hidden="1" s="581">
      <c r="B42" s="700" t="n">
        <v>100</v>
      </c>
      <c r="C42" s="701" t="n">
        <v>1000</v>
      </c>
      <c r="D42" s="702">
        <f>IF(0.005*C42&gt;100,100,0.005*C42)</f>
        <v/>
      </c>
      <c r="E42" s="722">
        <f>IF(0.0026875*C42&gt;12.9,12.9,0.0026875*C42)</f>
        <v/>
      </c>
      <c r="F42" s="704">
        <f>IF(C42*0.0004&gt;25,25,C42*0.0004)</f>
        <v/>
      </c>
      <c r="G42" s="705">
        <f>(D42-E42-F42)*100/107.5</f>
        <v/>
      </c>
      <c r="H42" s="706">
        <f>7.5%*G42</f>
        <v/>
      </c>
      <c r="I42" s="661" t="n"/>
      <c r="J42" s="707" t="n"/>
    </row>
    <row r="43" hidden="1" s="581">
      <c r="B43" s="708" t="n">
        <v>1001</v>
      </c>
      <c r="C43" s="709" t="n">
        <v>2000</v>
      </c>
      <c r="D43" s="710">
        <f>IF(0.005*C43&gt;100,100,0.005*C43)</f>
        <v/>
      </c>
      <c r="E43" s="723">
        <f>IF(0.0026875*C43&gt;12.9,12.9,0.0026875*C43)</f>
        <v/>
      </c>
      <c r="F43" s="712">
        <f>IF(C43*0.0004&gt;25,25,C43*0.0004)</f>
        <v/>
      </c>
      <c r="G43" s="713">
        <f>(D43-E43-F43)*100/107.5</f>
        <v/>
      </c>
      <c r="H43" s="714">
        <f>7.5%*G43</f>
        <v/>
      </c>
      <c r="I43" s="661" t="n"/>
    </row>
    <row r="44" hidden="1" s="581">
      <c r="B44" s="708" t="n">
        <v>2001</v>
      </c>
      <c r="C44" s="709" t="n">
        <v>3000</v>
      </c>
      <c r="D44" s="710">
        <f>IF(0.005*C44&gt;100,100,0.005*C44)</f>
        <v/>
      </c>
      <c r="E44" s="723">
        <f>IF(0.0026875*C44&gt;12.9,12.9,0.0026875*C44)</f>
        <v/>
      </c>
      <c r="F44" s="712">
        <f>IF(C44*0.0004&gt;25,25,C44*0.0004)</f>
        <v/>
      </c>
      <c r="G44" s="713">
        <f>(D44-E44-F44)*100/107.5</f>
        <v/>
      </c>
      <c r="H44" s="714">
        <f>7.5%*G44</f>
        <v/>
      </c>
      <c r="I44" s="661" t="n"/>
      <c r="J44" s="164" t="n"/>
    </row>
    <row r="45" hidden="1" s="581">
      <c r="B45" s="708" t="n">
        <v>3001</v>
      </c>
      <c r="C45" s="709" t="n">
        <v>4000</v>
      </c>
      <c r="D45" s="710">
        <f>IF(0.005*C45&gt;100,100,0.005*C45)</f>
        <v/>
      </c>
      <c r="E45" s="723">
        <f>IF(0.0026875*C45&gt;12.9,12.9,0.0026875*C45)</f>
        <v/>
      </c>
      <c r="F45" s="712">
        <f>IF(C45*0.0004&gt;25,25,C45*0.0004)</f>
        <v/>
      </c>
      <c r="G45" s="713">
        <f>(D45-E45-F45)*100/107.5</f>
        <v/>
      </c>
      <c r="H45" s="714">
        <f>7.5%*G45</f>
        <v/>
      </c>
      <c r="I45" s="661" t="n"/>
    </row>
    <row r="46" hidden="1" s="581">
      <c r="B46" s="708" t="n">
        <v>4001</v>
      </c>
      <c r="C46" s="709" t="n">
        <v>5000</v>
      </c>
      <c r="D46" s="710">
        <f>IF(0.005*C46&gt;100,100,0.005*C46)</f>
        <v/>
      </c>
      <c r="E46" s="723">
        <f>IF(0.0026875*C46&gt;12.9,12.9,0.0026875*C46)</f>
        <v/>
      </c>
      <c r="F46" s="712">
        <f>IF(C46*0.0004&gt;25,25,C46*0.0004)</f>
        <v/>
      </c>
      <c r="G46" s="713">
        <f>(D46-E46-F46)*100/107.5</f>
        <v/>
      </c>
      <c r="H46" s="714">
        <f>7.5%*G46</f>
        <v/>
      </c>
      <c r="I46" s="661" t="n"/>
    </row>
    <row r="47" hidden="1" s="581">
      <c r="B47" s="708" t="n">
        <v>5001</v>
      </c>
      <c r="C47" s="709" t="n">
        <v>6000</v>
      </c>
      <c r="D47" s="710">
        <f>IF(0.005*C47&gt;100,100,0.005*C47)</f>
        <v/>
      </c>
      <c r="E47" s="723">
        <f>IF(0.0026875*C47&gt;12.9,12.9,0.0026875*C47)</f>
        <v/>
      </c>
      <c r="F47" s="712">
        <f>IF(C47*0.0004&gt;25,25,C47*0.0004)</f>
        <v/>
      </c>
      <c r="G47" s="713">
        <f>(D47-E47-F47)*100/107.5</f>
        <v/>
      </c>
      <c r="H47" s="714">
        <f>7.5%*G47</f>
        <v/>
      </c>
      <c r="I47" s="661" t="n"/>
    </row>
    <row r="48" hidden="1" s="581">
      <c r="B48" s="708" t="n">
        <v>6001</v>
      </c>
      <c r="C48" s="709" t="n">
        <v>7000</v>
      </c>
      <c r="D48" s="710">
        <f>IF(0.005*C48&gt;100,100,0.005*C48)</f>
        <v/>
      </c>
      <c r="E48" s="723">
        <f>IF(0.0026875*C48&gt;12.9,12.9,0.0026875*C48)</f>
        <v/>
      </c>
      <c r="F48" s="712">
        <f>IF(C48*0.0004&gt;25,25,C48*0.0004)</f>
        <v/>
      </c>
      <c r="G48" s="713">
        <f>(D48-E48-F48)*100/107.5</f>
        <v/>
      </c>
      <c r="H48" s="714">
        <f>7.5%*G48</f>
        <v/>
      </c>
      <c r="I48" s="661" t="n"/>
    </row>
    <row r="49" hidden="1" s="581">
      <c r="B49" s="708" t="n">
        <v>7001</v>
      </c>
      <c r="C49" s="709" t="n">
        <v>8000</v>
      </c>
      <c r="D49" s="710">
        <f>IF(0.005*C49&gt;100,100,0.005*C49)</f>
        <v/>
      </c>
      <c r="E49" s="723">
        <f>IF(0.0026875*C49&gt;12.9,12.9,0.0026875*C49)</f>
        <v/>
      </c>
      <c r="F49" s="712">
        <f>IF(C49*0.0004&gt;25,25,C49*0.0004)</f>
        <v/>
      </c>
      <c r="G49" s="713">
        <f>(D49-E49-F49)*100/107.5</f>
        <v/>
      </c>
      <c r="H49" s="714">
        <f>7.5%*G49</f>
        <v/>
      </c>
      <c r="I49" s="661" t="n"/>
    </row>
    <row r="50" hidden="1" s="581">
      <c r="B50" s="708" t="n">
        <v>8001</v>
      </c>
      <c r="C50" s="709" t="n">
        <v>9000</v>
      </c>
      <c r="D50" s="710">
        <f>IF(0.005*C50&gt;100,100,0.005*C50)</f>
        <v/>
      </c>
      <c r="E50" s="723">
        <f>IF(0.0026875*C50&gt;12.9,12.9,0.0026875*C50)</f>
        <v/>
      </c>
      <c r="F50" s="712">
        <f>IF(C50*0.0004&gt;25,25,C50*0.0004)</f>
        <v/>
      </c>
      <c r="G50" s="713">
        <f>(D50-E50-F50)*100/107.5</f>
        <v/>
      </c>
      <c r="H50" s="714">
        <f>7.5%*G50</f>
        <v/>
      </c>
      <c r="I50" s="661" t="n"/>
    </row>
    <row r="51" hidden="1" s="581">
      <c r="B51" s="708" t="n">
        <v>9001</v>
      </c>
      <c r="C51" s="709" t="n">
        <v>10000</v>
      </c>
      <c r="D51" s="710">
        <f>IF(0.005*C51&gt;100,100,0.005*C51)</f>
        <v/>
      </c>
      <c r="E51" s="723">
        <f>IF(0.0026875*C51&gt;12.9,12.9,0.0026875*C51)</f>
        <v/>
      </c>
      <c r="F51" s="712">
        <f>IF(C51*0.0004&gt;25,25,C51*0.0004)</f>
        <v/>
      </c>
      <c r="G51" s="713">
        <f>(D51-E51-F51)*100/107.5</f>
        <v/>
      </c>
      <c r="H51" s="714">
        <f>7.5%*G51</f>
        <v/>
      </c>
      <c r="I51" s="661" t="n"/>
    </row>
    <row r="52" hidden="1" s="581">
      <c r="B52" s="708" t="n">
        <v>10001</v>
      </c>
      <c r="C52" s="709" t="n">
        <v>11000</v>
      </c>
      <c r="D52" s="710">
        <f>IF(0.005*C52&gt;100,100,0.005*C52)</f>
        <v/>
      </c>
      <c r="E52" s="723">
        <f>IF(0.0026875*C52&gt;12.9,12.9,0.0026875*C52)</f>
        <v/>
      </c>
      <c r="F52" s="712">
        <f>IF(C52*0.0004&gt;25,25,C52*0.0004)</f>
        <v/>
      </c>
      <c r="G52" s="713">
        <f>(D52-E52-F52)*100/107.5</f>
        <v/>
      </c>
      <c r="H52" s="714">
        <f>7.5%*G52</f>
        <v/>
      </c>
      <c r="I52" s="661" t="n"/>
    </row>
    <row r="53" hidden="1" s="581">
      <c r="B53" s="708" t="n">
        <v>11001</v>
      </c>
      <c r="C53" s="709" t="n">
        <v>12000</v>
      </c>
      <c r="D53" s="710">
        <f>IF(0.005*C53&gt;100,100,0.005*C53)</f>
        <v/>
      </c>
      <c r="E53" s="723">
        <f>IF(0.0026875*C53&gt;12.9,12.9,0.0026875*C53)</f>
        <v/>
      </c>
      <c r="F53" s="712">
        <f>IF(C53*0.0004&gt;25,25,C53*0.0004)</f>
        <v/>
      </c>
      <c r="G53" s="713">
        <f>(D53-E53-F53)*100/107.5</f>
        <v/>
      </c>
      <c r="H53" s="714">
        <f>7.5%*G53</f>
        <v/>
      </c>
      <c r="I53" s="661" t="n"/>
    </row>
    <row r="54" hidden="1" s="581">
      <c r="B54" s="708" t="n">
        <v>12001</v>
      </c>
      <c r="C54" s="709" t="n">
        <v>13000</v>
      </c>
      <c r="D54" s="710">
        <f>IF(0.005*C54&gt;100,100,0.005*C54)</f>
        <v/>
      </c>
      <c r="E54" s="723">
        <f>IF(0.0026875*C54&gt;12.9,12.9,0.0026875*C54)</f>
        <v/>
      </c>
      <c r="F54" s="712">
        <f>IF(C54*0.0004&gt;25,25,C54*0.0004)</f>
        <v/>
      </c>
      <c r="G54" s="713">
        <f>(D54-E54-F54)*100/107.5</f>
        <v/>
      </c>
      <c r="H54" s="714">
        <f>7.5%*G54</f>
        <v/>
      </c>
      <c r="I54" s="661" t="n"/>
    </row>
    <row r="55" hidden="1" s="581">
      <c r="B55" s="708" t="n">
        <v>13001</v>
      </c>
      <c r="C55" s="709" t="n">
        <v>14000</v>
      </c>
      <c r="D55" s="710">
        <f>IF(0.005*C55&gt;100,100,0.005*C55)</f>
        <v/>
      </c>
      <c r="E55" s="723">
        <f>IF(0.0026875*C55&gt;12.9,12.9,0.0026875*C55)</f>
        <v/>
      </c>
      <c r="F55" s="712">
        <f>IF(C55*0.0004&gt;25,25,C55*0.0004)</f>
        <v/>
      </c>
      <c r="G55" s="713">
        <f>(D55-E55-F55)*100/107.5</f>
        <v/>
      </c>
      <c r="H55" s="714">
        <f>7.5%*G55</f>
        <v/>
      </c>
      <c r="I55" s="661" t="n"/>
    </row>
    <row r="56" hidden="1" s="581">
      <c r="B56" s="708" t="n">
        <v>14001</v>
      </c>
      <c r="C56" s="709" t="n">
        <v>15000</v>
      </c>
      <c r="D56" s="710">
        <f>IF(0.005*C56&gt;100,100,0.005*C56)</f>
        <v/>
      </c>
      <c r="E56" s="723">
        <f>IF(0.0026875*C56&gt;12.9,12.9,0.0026875*C56)</f>
        <v/>
      </c>
      <c r="F56" s="712">
        <f>IF(C56*0.0004&gt;25,25,C56*0.0004)</f>
        <v/>
      </c>
      <c r="G56" s="713">
        <f>(D56-E56-F56)*100/107.5</f>
        <v/>
      </c>
      <c r="H56" s="714">
        <f>7.5%*G56</f>
        <v/>
      </c>
      <c r="I56" s="661" t="n"/>
    </row>
    <row r="57" hidden="1" s="581">
      <c r="B57" s="708" t="n">
        <v>15001</v>
      </c>
      <c r="C57" s="709" t="n">
        <v>16000</v>
      </c>
      <c r="D57" s="710">
        <f>IF(0.005*C57&gt;100,100,0.005*C57)</f>
        <v/>
      </c>
      <c r="E57" s="723">
        <f>IF(0.0026875*C57&gt;12.9,12.9,0.0026875*C57)</f>
        <v/>
      </c>
      <c r="F57" s="712">
        <f>IF(C57*0.0004&gt;25,25,C57*0.0004)</f>
        <v/>
      </c>
      <c r="G57" s="713">
        <f>(D57-E57-F57)*100/107.5</f>
        <v/>
      </c>
      <c r="H57" s="714">
        <f>7.5%*G57</f>
        <v/>
      </c>
      <c r="I57" s="661" t="n"/>
    </row>
    <row r="58" hidden="1" s="581">
      <c r="B58" s="708" t="n">
        <v>16001</v>
      </c>
      <c r="C58" s="709" t="n">
        <v>17000</v>
      </c>
      <c r="D58" s="710">
        <f>IF(0.005*C58&gt;100,100,0.005*C58)</f>
        <v/>
      </c>
      <c r="E58" s="723">
        <f>IF(0.0026875*C58&gt;12.9,12.9,0.0026875*C58)</f>
        <v/>
      </c>
      <c r="F58" s="712">
        <f>IF(C58*0.0004&gt;25,25,C58*0.0004)</f>
        <v/>
      </c>
      <c r="G58" s="713">
        <f>(D58-E58-F58)*100/107.5</f>
        <v/>
      </c>
      <c r="H58" s="714">
        <f>7.5%*G58</f>
        <v/>
      </c>
      <c r="I58" s="661" t="n"/>
    </row>
    <row r="59" hidden="1" s="581">
      <c r="B59" s="708" t="n">
        <v>17001</v>
      </c>
      <c r="C59" s="709" t="n">
        <v>18000</v>
      </c>
      <c r="D59" s="710">
        <f>IF(0.005*C59&gt;100,100,0.005*C59)</f>
        <v/>
      </c>
      <c r="E59" s="723">
        <f>IF(0.0026875*C59&gt;12.9,12.9,0.0026875*C59)</f>
        <v/>
      </c>
      <c r="F59" s="712">
        <f>IF(C59*0.0004&gt;25,25,C59*0.0004)</f>
        <v/>
      </c>
      <c r="G59" s="713">
        <f>(D59-E59-F59)*100/107.5</f>
        <v/>
      </c>
      <c r="H59" s="714">
        <f>7.5%*G59</f>
        <v/>
      </c>
      <c r="I59" s="661" t="n"/>
    </row>
    <row r="60" hidden="1" s="581">
      <c r="B60" s="708" t="n">
        <v>18001</v>
      </c>
      <c r="C60" s="709" t="n">
        <v>19000</v>
      </c>
      <c r="D60" s="710">
        <f>IF(0.005*C60&gt;100,100,0.005*C60)</f>
        <v/>
      </c>
      <c r="E60" s="723">
        <f>IF(0.0026875*C60&gt;12.9,12.9,0.0026875*C60)</f>
        <v/>
      </c>
      <c r="F60" s="712">
        <f>IF(C60*0.0004&gt;25,25,C60*0.0004)</f>
        <v/>
      </c>
      <c r="G60" s="713">
        <f>(D60-E60-F60)*100/107.5</f>
        <v/>
      </c>
      <c r="H60" s="714">
        <f>7.5%*G60</f>
        <v/>
      </c>
      <c r="I60" s="661" t="n"/>
    </row>
    <row r="61" hidden="1" s="581">
      <c r="B61" s="708" t="n">
        <v>19001</v>
      </c>
      <c r="C61" s="709" t="n">
        <v>20000</v>
      </c>
      <c r="D61" s="710">
        <f>IF(0.005*C61&gt;100,100,0.005*C61)</f>
        <v/>
      </c>
      <c r="E61" s="723">
        <f>IF(0.0026875*C61&gt;12.9,12.9,0.0026875*C61)</f>
        <v/>
      </c>
      <c r="F61" s="712">
        <f>IF(C61*0.0004&gt;25,25,C61*0.0004)</f>
        <v/>
      </c>
      <c r="G61" s="713">
        <f>(D61-E61-F61)*100/107.5</f>
        <v/>
      </c>
      <c r="H61" s="714">
        <f>7.5%*G61</f>
        <v/>
      </c>
      <c r="I61" s="661" t="n"/>
    </row>
    <row r="62" hidden="1" s="581">
      <c r="B62" s="708" t="n">
        <v>20001</v>
      </c>
      <c r="C62" s="709" t="n">
        <v>30000</v>
      </c>
      <c r="D62" s="710">
        <f>IF(0.005*C62&gt;100,100,0.005*C62)</f>
        <v/>
      </c>
      <c r="E62" s="723">
        <f>IF(0.0026875*C62&gt;12.9,12.9,0.0026875*C62)</f>
        <v/>
      </c>
      <c r="F62" s="712">
        <f>IF(C62*0.0004&gt;25,25,C62*0.0004)</f>
        <v/>
      </c>
      <c r="G62" s="713">
        <f>(D62-E62-F62)*100/107.5</f>
        <v/>
      </c>
      <c r="H62" s="714">
        <f>7.5%*G62</f>
        <v/>
      </c>
      <c r="I62" s="661" t="n"/>
    </row>
    <row r="63" hidden="1" s="581">
      <c r="B63" s="708" t="n">
        <v>30001</v>
      </c>
      <c r="C63" s="709" t="n">
        <v>40000</v>
      </c>
      <c r="D63" s="710">
        <f>IF(0.005*C63&gt;100,100,0.005*C63)</f>
        <v/>
      </c>
      <c r="E63" s="723">
        <f>IF(0.0026875*C63&gt;12.9,12.9,0.0026875*C63)</f>
        <v/>
      </c>
      <c r="F63" s="712">
        <f>IF(C63*0.0004&gt;25,25,C63*0.0004)</f>
        <v/>
      </c>
      <c r="G63" s="713">
        <f>(D63-E63-F63)*100/107.5</f>
        <v/>
      </c>
      <c r="H63" s="714">
        <f>7.5%*G63</f>
        <v/>
      </c>
      <c r="I63" s="661" t="n"/>
    </row>
    <row r="64" hidden="1" s="581">
      <c r="B64" s="708" t="n">
        <v>40001</v>
      </c>
      <c r="C64" s="709" t="n">
        <v>50000</v>
      </c>
      <c r="D64" s="710">
        <f>IF(0.005*C64&gt;100,100,0.005*C64)</f>
        <v/>
      </c>
      <c r="E64" s="723">
        <f>IF(0.0026875*C64&gt;12.9,12.9,0.0026875*C64)</f>
        <v/>
      </c>
      <c r="F64" s="712">
        <f>IF(C64*0.0004&gt;25,25,C64*0.0004)</f>
        <v/>
      </c>
      <c r="G64" s="713">
        <f>(D64-E64-F64)*100/107.5</f>
        <v/>
      </c>
      <c r="H64" s="714">
        <f>7.5%*G64</f>
        <v/>
      </c>
      <c r="I64" s="661" t="n"/>
    </row>
    <row r="65" hidden="1" s="581">
      <c r="B65" s="708" t="n">
        <v>50001</v>
      </c>
      <c r="C65" s="709" t="n">
        <v>60000</v>
      </c>
      <c r="D65" s="710">
        <f>IF(0.005*C65&gt;100,100,0.005*C65)</f>
        <v/>
      </c>
      <c r="E65" s="723">
        <f>IF(0.0026875*C65&gt;12.9,12.9,0.0026875*C65)</f>
        <v/>
      </c>
      <c r="F65" s="712">
        <f>IF(C65*0.0004&gt;25,25,C65*0.0004)</f>
        <v/>
      </c>
      <c r="G65" s="713">
        <f>(D65-E65-F65)*100/107.5</f>
        <v/>
      </c>
      <c r="H65" s="714">
        <f>7.5%*G65</f>
        <v/>
      </c>
      <c r="I65" s="661" t="n"/>
    </row>
    <row r="66" hidden="1" s="581">
      <c r="B66" s="708" t="n">
        <v>60001</v>
      </c>
      <c r="C66" s="709" t="n">
        <v>70000</v>
      </c>
      <c r="D66" s="710">
        <f>IF(0.005*C66&gt;100,100,0.005*C66)</f>
        <v/>
      </c>
      <c r="E66" s="723">
        <f>IF(0.0026875*C66&gt;12.9,12.9,0.0026875*C66)</f>
        <v/>
      </c>
      <c r="F66" s="712">
        <f>IF(C66*0.0004&gt;25,25,C66*0.0004)</f>
        <v/>
      </c>
      <c r="G66" s="713">
        <f>(D66-E66-F66)*100/107.5</f>
        <v/>
      </c>
      <c r="H66" s="714">
        <f>7.5%*G66</f>
        <v/>
      </c>
      <c r="I66" s="661" t="n"/>
    </row>
    <row r="67" hidden="1" s="581">
      <c r="B67" s="708" t="n">
        <v>70001</v>
      </c>
      <c r="C67" s="709" t="n">
        <v>80000</v>
      </c>
      <c r="D67" s="710">
        <f>IF(0.005*C67&gt;100,100,0.005*C67)</f>
        <v/>
      </c>
      <c r="E67" s="723">
        <f>IF(0.0026875*C67&gt;12.9,12.9,0.0026875*C67)</f>
        <v/>
      </c>
      <c r="F67" s="712">
        <f>IF(C67*0.0004&gt;25,25,C67*0.0004)</f>
        <v/>
      </c>
      <c r="G67" s="713">
        <f>(D67-E67-F67)*100/107.5</f>
        <v/>
      </c>
      <c r="H67" s="714">
        <f>7.5%*G67</f>
        <v/>
      </c>
      <c r="I67" s="661" t="n"/>
    </row>
    <row r="68" hidden="1" s="581">
      <c r="B68" s="708" t="n">
        <v>80001</v>
      </c>
      <c r="C68" s="709" t="n">
        <v>90000</v>
      </c>
      <c r="D68" s="710">
        <f>IF(0.005*C68&gt;100,100,0.005*C68)</f>
        <v/>
      </c>
      <c r="E68" s="723">
        <f>IF(0.0026875*C68&gt;12.9,12.9,0.0026875*C68)</f>
        <v/>
      </c>
      <c r="F68" s="712">
        <f>IF(C68*0.0004&gt;25,25,C68*0.0004)</f>
        <v/>
      </c>
      <c r="G68" s="713">
        <f>(D68-E68-F68)*100/107.5</f>
        <v/>
      </c>
      <c r="H68" s="714">
        <f>7.5%*G68</f>
        <v/>
      </c>
      <c r="I68" s="661" t="n"/>
    </row>
    <row r="69" hidden="1" ht="14" customHeight="1" s="581" thickBot="1">
      <c r="B69" s="715" t="n">
        <v>90001</v>
      </c>
      <c r="C69" s="716" t="n">
        <v>100000</v>
      </c>
      <c r="D69" s="717">
        <f>IF(0.005*C69&gt;100,100,0.005*C69)</f>
        <v/>
      </c>
      <c r="E69" s="724">
        <f>IF(0.0026875*C69&gt;12.9,12.9,0.0026875*C69)</f>
        <v/>
      </c>
      <c r="F69" s="719">
        <f>IF(C69*0.0004&gt;25,25,C69*0.0004)</f>
        <v/>
      </c>
      <c r="G69" s="720">
        <f>(D69-E69-F69)*100/107.5</f>
        <v/>
      </c>
      <c r="H69" s="721">
        <f>7.5%*G69</f>
        <v/>
      </c>
      <c r="I69" s="661" t="n"/>
    </row>
  </sheetData>
  <mergeCells count="7">
    <mergeCell ref="B4:L4"/>
    <mergeCell ref="B8:H8"/>
    <mergeCell ref="B40:H40"/>
    <mergeCell ref="B6:I6"/>
    <mergeCell ref="B2:O2"/>
    <mergeCell ref="B3:H3"/>
    <mergeCell ref="B5:H5"/>
  </mergeCells>
  <pageMargins left="0.7" right="0.7" top="0.75" bottom="0.75" header="0.3" footer="0.3"/>
  <pageSetup orientation="portrait" paperSize="9" scale="76"/>
</worksheet>
</file>

<file path=xl/worksheets/sheet8.xml><?xml version="1.0" encoding="utf-8"?>
<worksheet xmlns="http://schemas.openxmlformats.org/spreadsheetml/2006/main">
  <sheetPr>
    <tabColor theme="7" tint="0.3999755851924192"/>
    <outlinePr summaryBelow="1" summaryRight="1"/>
    <pageSetUpPr fitToPage="1"/>
  </sheetPr>
  <dimension ref="B1:N70"/>
  <sheetViews>
    <sheetView topLeftCell="A2" zoomScale="92" zoomScaleNormal="100" workbookViewId="0">
      <selection activeCell="D10" sqref="D10"/>
    </sheetView>
  </sheetViews>
  <sheetFormatPr baseColWidth="8" defaultRowHeight="13.5"/>
  <cols>
    <col width="5.26953125" customWidth="1" style="563" min="1" max="1"/>
    <col width="14.26953125" bestFit="1" customWidth="1" style="142" min="2" max="2"/>
    <col width="14.54296875" bestFit="1" customWidth="1" style="563" min="3" max="3"/>
    <col width="18.1796875" customWidth="1" style="563" min="4" max="4"/>
    <col width="13.54296875" customWidth="1" style="563" min="5" max="6"/>
    <col width="16.90625" customWidth="1" style="563" min="7" max="7"/>
    <col width="13.1796875" customWidth="1" style="563" min="8" max="8"/>
    <col width="11.453125" customWidth="1" style="563" min="9" max="9"/>
    <col width="9.54296875" bestFit="1" customWidth="1" style="563" min="10" max="10"/>
    <col width="8.7265625" customWidth="1" style="563" min="11" max="11"/>
    <col width="8.7265625" customWidth="1" style="563" min="12" max="16384"/>
  </cols>
  <sheetData>
    <row r="1" customFormat="1" s="145">
      <c r="B1" s="144" t="inlineStr">
        <is>
          <t>Key Notes:</t>
        </is>
      </c>
      <c r="C1" s="144" t="n"/>
      <c r="D1" s="144" t="n"/>
      <c r="E1" s="144" t="n"/>
      <c r="F1" s="144" t="n"/>
      <c r="G1" s="144" t="n"/>
      <c r="H1" s="144" t="n"/>
      <c r="I1" s="144" t="n"/>
    </row>
    <row r="2" customFormat="1" s="584">
      <c r="B2" s="583" t="inlineStr">
        <is>
          <t>1. Agents are charged based on the highest limit per band (even when the transaction amount falls within the band i.e. for transaction of N2,400; N3,000 will be used to compute the fees)</t>
        </is>
      </c>
    </row>
    <row r="3" customFormat="1" s="584">
      <c r="B3" s="583" t="inlineStr">
        <is>
          <t>2. All charges are VAT-inclusive</t>
        </is>
      </c>
    </row>
    <row r="4" customFormat="1" s="584">
      <c r="B4" s="583" t="inlineStr">
        <is>
          <t>3. Fees to 9PSB should be computed as the difference between the total fee charged and summation of fees due to other stakeholders (including 10% cashback to Agent)</t>
        </is>
      </c>
    </row>
    <row r="5" customFormat="1" s="584">
      <c r="B5" s="583" t="inlineStr">
        <is>
          <t>4. VAT should be calculated and deducted from fees due to 9PSB.</t>
        </is>
      </c>
    </row>
    <row r="6" customFormat="1" s="584">
      <c r="B6" s="583" t="inlineStr">
        <is>
          <t>5. 10% WHT will apply to the accumulated Agent's commissions at the point of withdrawal to the main wallet</t>
        </is>
      </c>
    </row>
    <row r="7" ht="18.5" customHeight="1" s="581" thickBot="1">
      <c r="B7" s="699" t="inlineStr">
        <is>
          <t>6. Processor fee basis: the processor fee (ISW, or ZONE in the ZONE-processor table) is charged at its rate on the ACTUAL transaction amount, not on the band's highest limit. Because the agent is charged on the band's highest limit (see Note 1) while the processor fee scales with the actual amount, the ISW/ZONE and 9PSB columns below show the BAND-CEILING case (maximum processor fee, minimum 9PSB). For any transaction below the band's highest limit, the actual ISW/ZONE fee is proportionally lower and 9PSB's margin is correspondingly higher than the figure shown.</t>
        </is>
      </c>
    </row>
    <row r="8" ht="17.5" customHeight="1" s="581" thickBot="1">
      <c r="B8" s="585" t="inlineStr">
        <is>
          <t>CARD WITHDRAWAL CHARGE SPLIT FOR GOLD AGENT WITH ISW AS A PROCESSOR</t>
        </is>
      </c>
      <c r="C8" s="573" t="n"/>
      <c r="D8" s="573" t="n"/>
      <c r="E8" s="573" t="n"/>
      <c r="F8" s="573" t="n"/>
      <c r="G8" s="573" t="n"/>
      <c r="H8" s="573" t="n"/>
      <c r="I8" s="574" t="n"/>
    </row>
    <row r="9" ht="27.5" customFormat="1" customHeight="1" s="2" thickBot="1">
      <c r="B9" s="149" t="inlineStr">
        <is>
          <t>Lowest Limit</t>
        </is>
      </c>
      <c r="C9" s="95" t="inlineStr">
        <is>
          <t>Highest Limit</t>
        </is>
      </c>
      <c r="D9" s="150" t="inlineStr">
        <is>
          <t>Total Charge 
(VAT Inclusive)</t>
        </is>
      </c>
      <c r="E9" s="150" t="inlineStr">
        <is>
          <t>ISW</t>
        </is>
      </c>
      <c r="F9" s="274" t="inlineStr">
        <is>
          <t>SLP (where applicable)</t>
        </is>
      </c>
      <c r="G9" s="212" t="inlineStr">
        <is>
          <t>Cashback to Gold Agent*</t>
        </is>
      </c>
      <c r="H9" s="149" t="inlineStr">
        <is>
          <t>9PSB</t>
        </is>
      </c>
      <c r="I9" s="96" t="inlineStr">
        <is>
          <t>7.5% VAT</t>
        </is>
      </c>
      <c r="J9" s="563" t="n"/>
    </row>
    <row r="10">
      <c r="B10" s="700" t="n">
        <v>100</v>
      </c>
      <c r="C10" s="701" t="n">
        <v>1000</v>
      </c>
      <c r="D10" s="702">
        <f>IF(0.005*C10&gt;100,100,0.005*C10)</f>
        <v/>
      </c>
      <c r="E10" s="703">
        <f>IF(0.003225*C10&gt;21.5,21.5,0.003225*C10)</f>
        <v/>
      </c>
      <c r="F10" s="704">
        <f>IF(C10*0.0004&gt;25,25,C10*0.0004)</f>
        <v/>
      </c>
      <c r="G10" s="725">
        <f>10%*D10</f>
        <v/>
      </c>
      <c r="H10" s="705">
        <f>(D10-E10-F10-G10)*100/107.5</f>
        <v/>
      </c>
      <c r="I10" s="706">
        <f>7.5%*H10</f>
        <v/>
      </c>
      <c r="J10" s="661" t="n"/>
    </row>
    <row r="11">
      <c r="B11" s="708" t="n">
        <v>1001</v>
      </c>
      <c r="C11" s="709" t="n">
        <v>2000</v>
      </c>
      <c r="D11" s="710">
        <f>IF(0.005*C11&gt;100,100,0.005*C11)</f>
        <v/>
      </c>
      <c r="E11" s="711">
        <f>IF(0.003225*C11&gt;21.5,21.5,0.003225*C11)</f>
        <v/>
      </c>
      <c r="F11" s="726">
        <f>IF(C11*0.0004&gt;25,25,C11*0.0004)</f>
        <v/>
      </c>
      <c r="G11" s="726">
        <f>10%*D11</f>
        <v/>
      </c>
      <c r="H11" s="713">
        <f>(D11-E11-F11-G11)*100/107.5</f>
        <v/>
      </c>
      <c r="I11" s="714">
        <f>7.5%*H11</f>
        <v/>
      </c>
    </row>
    <row r="12">
      <c r="B12" s="708" t="n">
        <v>2001</v>
      </c>
      <c r="C12" s="709" t="n">
        <v>3000</v>
      </c>
      <c r="D12" s="710">
        <f>IF(0.005*C12&gt;100,100,0.005*C12)</f>
        <v/>
      </c>
      <c r="E12" s="711">
        <f>IF(0.003225*C12&gt;21.5,21.5,0.003225*C12)</f>
        <v/>
      </c>
      <c r="F12" s="726">
        <f>IF(C12*0.0004&gt;25,25,C12*0.0004)</f>
        <v/>
      </c>
      <c r="G12" s="726">
        <f>10%*D12</f>
        <v/>
      </c>
      <c r="H12" s="713">
        <f>(D12-E12-F12-G12)*100/107.5</f>
        <v/>
      </c>
      <c r="I12" s="714">
        <f>7.5%*H12</f>
        <v/>
      </c>
      <c r="J12" s="164" t="n"/>
    </row>
    <row r="13">
      <c r="B13" s="708" t="n">
        <v>3001</v>
      </c>
      <c r="C13" s="709" t="n">
        <v>4000</v>
      </c>
      <c r="D13" s="710">
        <f>IF(0.005*C13&gt;100,100,0.005*C13)</f>
        <v/>
      </c>
      <c r="E13" s="711">
        <f>IF(0.003225*C13&gt;21.5,21.5,0.003225*C13)</f>
        <v/>
      </c>
      <c r="F13" s="726">
        <f>IF(C13*0.0004&gt;25,25,C13*0.0004)</f>
        <v/>
      </c>
      <c r="G13" s="726">
        <f>10%*D13</f>
        <v/>
      </c>
      <c r="H13" s="713">
        <f>(D13-E13-F13-G13)*100/107.5</f>
        <v/>
      </c>
      <c r="I13" s="714">
        <f>7.5%*H13</f>
        <v/>
      </c>
    </row>
    <row r="14">
      <c r="B14" s="708" t="n">
        <v>4001</v>
      </c>
      <c r="C14" s="709" t="n">
        <v>5000</v>
      </c>
      <c r="D14" s="710">
        <f>IF(0.005*C14&gt;100,100,0.005*C14)</f>
        <v/>
      </c>
      <c r="E14" s="711">
        <f>IF(0.003225*C14&gt;21.5,21.5,0.003225*C14)</f>
        <v/>
      </c>
      <c r="F14" s="726">
        <f>IF(C14*0.0004&gt;25,25,C14*0.0004)</f>
        <v/>
      </c>
      <c r="G14" s="726">
        <f>10%*D14</f>
        <v/>
      </c>
      <c r="H14" s="713">
        <f>(D14-E14-F14-G14)*100/107.5</f>
        <v/>
      </c>
      <c r="I14" s="714">
        <f>7.5%*H14</f>
        <v/>
      </c>
    </row>
    <row r="15">
      <c r="B15" s="708" t="n">
        <v>5001</v>
      </c>
      <c r="C15" s="709" t="n">
        <v>6000</v>
      </c>
      <c r="D15" s="710">
        <f>IF(0.005*C15&gt;100,100,0.005*C15)</f>
        <v/>
      </c>
      <c r="E15" s="711">
        <f>IF(0.003225*C15&gt;21.5,21.5,0.003225*C15)</f>
        <v/>
      </c>
      <c r="F15" s="726">
        <f>IF(C15*0.0004&gt;25,25,C15*0.0004)</f>
        <v/>
      </c>
      <c r="G15" s="726">
        <f>10%*D15</f>
        <v/>
      </c>
      <c r="H15" s="713">
        <f>(D15-E15-F15-G15)*100/107.5</f>
        <v/>
      </c>
      <c r="I15" s="714">
        <f>7.5%*H15</f>
        <v/>
      </c>
    </row>
    <row r="16">
      <c r="B16" s="708" t="n">
        <v>6001</v>
      </c>
      <c r="C16" s="709" t="n">
        <v>7000</v>
      </c>
      <c r="D16" s="710">
        <f>IF(0.005*C16&gt;100,100,0.005*C16)</f>
        <v/>
      </c>
      <c r="E16" s="711">
        <f>IF(0.003225*C16&gt;21.5,21.5,0.003225*C16)</f>
        <v/>
      </c>
      <c r="F16" s="726">
        <f>IF(C16*0.0004&gt;25,25,C16*0.0004)</f>
        <v/>
      </c>
      <c r="G16" s="726">
        <f>10%*D16</f>
        <v/>
      </c>
      <c r="H16" s="713">
        <f>(D16-E16-F16-G16)*100/107.5</f>
        <v/>
      </c>
      <c r="I16" s="714">
        <f>7.5%*H16</f>
        <v/>
      </c>
    </row>
    <row r="17">
      <c r="B17" s="708" t="n">
        <v>7001</v>
      </c>
      <c r="C17" s="709" t="n">
        <v>8000</v>
      </c>
      <c r="D17" s="710">
        <f>IF(0.005*C17&gt;100,100,0.005*C17)</f>
        <v/>
      </c>
      <c r="E17" s="711">
        <f>IF(0.003225*C17&gt;21.5,21.5,0.003225*C17)</f>
        <v/>
      </c>
      <c r="F17" s="726">
        <f>IF(C17*0.0004&gt;25,25,C17*0.0004)</f>
        <v/>
      </c>
      <c r="G17" s="726">
        <f>10%*D17</f>
        <v/>
      </c>
      <c r="H17" s="713">
        <f>(D17-E17-F17-G17)*100/107.5</f>
        <v/>
      </c>
      <c r="I17" s="714">
        <f>7.5%*H17</f>
        <v/>
      </c>
    </row>
    <row r="18">
      <c r="B18" s="708" t="n">
        <v>8001</v>
      </c>
      <c r="C18" s="709" t="n">
        <v>9000</v>
      </c>
      <c r="D18" s="710">
        <f>IF(0.005*C18&gt;100,100,0.005*C18)</f>
        <v/>
      </c>
      <c r="E18" s="711">
        <f>IF(0.003225*C18&gt;21.5,21.5,0.003225*C18)</f>
        <v/>
      </c>
      <c r="F18" s="726">
        <f>IF(C18*0.0004&gt;25,25,C18*0.0004)</f>
        <v/>
      </c>
      <c r="G18" s="726">
        <f>10%*D18</f>
        <v/>
      </c>
      <c r="H18" s="713">
        <f>(D18-E18-F18-G18)*100/107.5</f>
        <v/>
      </c>
      <c r="I18" s="714">
        <f>7.5%*H18</f>
        <v/>
      </c>
    </row>
    <row r="19">
      <c r="B19" s="708" t="n">
        <v>9001</v>
      </c>
      <c r="C19" s="709" t="n">
        <v>10000</v>
      </c>
      <c r="D19" s="710">
        <f>IF(0.005*C19&gt;100,100,0.005*C19)</f>
        <v/>
      </c>
      <c r="E19" s="711">
        <f>IF(0.003225*C19&gt;21.5,21.5,0.003225*C19)</f>
        <v/>
      </c>
      <c r="F19" s="726">
        <f>IF(C19*0.0004&gt;25,25,C19*0.0004)</f>
        <v/>
      </c>
      <c r="G19" s="726">
        <f>10%*D19</f>
        <v/>
      </c>
      <c r="H19" s="713">
        <f>(D19-E19-F19-G19)*100/107.5</f>
        <v/>
      </c>
      <c r="I19" s="714">
        <f>7.5%*H19</f>
        <v/>
      </c>
    </row>
    <row r="20">
      <c r="B20" s="708" t="n">
        <v>10001</v>
      </c>
      <c r="C20" s="709" t="n">
        <v>11000</v>
      </c>
      <c r="D20" s="710">
        <f>IF(0.005*C20&gt;100,100,0.005*C20)</f>
        <v/>
      </c>
      <c r="E20" s="711">
        <f>IF(0.003225*C20&gt;21.5,21.5,0.003225*C20)</f>
        <v/>
      </c>
      <c r="F20" s="726">
        <f>IF(C20*0.0004&gt;25,25,C20*0.0004)</f>
        <v/>
      </c>
      <c r="G20" s="726">
        <f>10%*D20</f>
        <v/>
      </c>
      <c r="H20" s="713">
        <f>(D20-E20-F20-G20)*100/107.5</f>
        <v/>
      </c>
      <c r="I20" s="714">
        <f>7.5%*H20</f>
        <v/>
      </c>
    </row>
    <row r="21">
      <c r="B21" s="708" t="n">
        <v>11001</v>
      </c>
      <c r="C21" s="709" t="n">
        <v>12000</v>
      </c>
      <c r="D21" s="710">
        <f>IF(0.005*C21&gt;100,100,0.005*C21)</f>
        <v/>
      </c>
      <c r="E21" s="711">
        <f>IF(0.003225*C21&gt;21.5,21.5,0.003225*C21)</f>
        <v/>
      </c>
      <c r="F21" s="726">
        <f>IF(C21*0.0004&gt;25,25,C21*0.0004)</f>
        <v/>
      </c>
      <c r="G21" s="726">
        <f>10%*D21</f>
        <v/>
      </c>
      <c r="H21" s="713">
        <f>(D21-E21-F21-G21)*100/107.5</f>
        <v/>
      </c>
      <c r="I21" s="714">
        <f>7.5%*H21</f>
        <v/>
      </c>
    </row>
    <row r="22">
      <c r="B22" s="708" t="n">
        <v>12001</v>
      </c>
      <c r="C22" s="709" t="n">
        <v>13000</v>
      </c>
      <c r="D22" s="710">
        <f>IF(0.005*C22&gt;100,100,0.005*C22)</f>
        <v/>
      </c>
      <c r="E22" s="711">
        <f>IF(0.003225*C22&gt;21.5,21.5,0.003225*C22)</f>
        <v/>
      </c>
      <c r="F22" s="726">
        <f>IF(C22*0.0004&gt;25,25,C22*0.0004)</f>
        <v/>
      </c>
      <c r="G22" s="726">
        <f>10%*D22</f>
        <v/>
      </c>
      <c r="H22" s="713">
        <f>(D22-E22-F22-G22)*100/107.5</f>
        <v/>
      </c>
      <c r="I22" s="714">
        <f>7.5%*H22</f>
        <v/>
      </c>
    </row>
    <row r="23">
      <c r="B23" s="708" t="n">
        <v>13001</v>
      </c>
      <c r="C23" s="709" t="n">
        <v>14000</v>
      </c>
      <c r="D23" s="710">
        <f>IF(0.005*C23&gt;100,100,0.005*C23)</f>
        <v/>
      </c>
      <c r="E23" s="711">
        <f>IF(0.003225*C23&gt;21.5,21.5,0.003225*C23)</f>
        <v/>
      </c>
      <c r="F23" s="726">
        <f>IF(C23*0.0004&gt;25,25,C23*0.0004)</f>
        <v/>
      </c>
      <c r="G23" s="726">
        <f>10%*D23</f>
        <v/>
      </c>
      <c r="H23" s="713">
        <f>(D23-E23-F23-G23)*100/107.5</f>
        <v/>
      </c>
      <c r="I23" s="714">
        <f>7.5%*H23</f>
        <v/>
      </c>
    </row>
    <row r="24">
      <c r="B24" s="708" t="n">
        <v>14001</v>
      </c>
      <c r="C24" s="709" t="n">
        <v>15000</v>
      </c>
      <c r="D24" s="710">
        <f>IF(0.005*C24&gt;100,100,0.005*C24)</f>
        <v/>
      </c>
      <c r="E24" s="711">
        <f>IF(0.003225*C24&gt;21.5,21.5,0.003225*C24)</f>
        <v/>
      </c>
      <c r="F24" s="726">
        <f>IF(C24*0.0004&gt;25,25,C24*0.0004)</f>
        <v/>
      </c>
      <c r="G24" s="726">
        <f>10%*D24</f>
        <v/>
      </c>
      <c r="H24" s="713">
        <f>(D24-E24-F24-G24)*100/107.5</f>
        <v/>
      </c>
      <c r="I24" s="714">
        <f>7.5%*H24</f>
        <v/>
      </c>
    </row>
    <row r="25">
      <c r="B25" s="708" t="n">
        <v>15001</v>
      </c>
      <c r="C25" s="709" t="n">
        <v>16000</v>
      </c>
      <c r="D25" s="710">
        <f>IF(0.005*C25&gt;100,100,0.005*C25)</f>
        <v/>
      </c>
      <c r="E25" s="711">
        <f>IF(0.003225*C25&gt;21.5,21.5,0.003225*C25)</f>
        <v/>
      </c>
      <c r="F25" s="726">
        <f>IF(C25*0.0004&gt;25,25,C25*0.0004)</f>
        <v/>
      </c>
      <c r="G25" s="726">
        <f>10%*D25</f>
        <v/>
      </c>
      <c r="H25" s="713">
        <f>(D25-E25-F25-G25)*100/107.5</f>
        <v/>
      </c>
      <c r="I25" s="714">
        <f>7.5%*H25</f>
        <v/>
      </c>
    </row>
    <row r="26">
      <c r="B26" s="708" t="n">
        <v>16001</v>
      </c>
      <c r="C26" s="709" t="n">
        <v>17000</v>
      </c>
      <c r="D26" s="710">
        <f>IF(0.005*C26&gt;100,100,0.005*C26)</f>
        <v/>
      </c>
      <c r="E26" s="711">
        <f>IF(0.003225*C26&gt;21.5,21.5,0.003225*C26)</f>
        <v/>
      </c>
      <c r="F26" s="726">
        <f>IF(C26*0.0004&gt;25,25,C26*0.0004)</f>
        <v/>
      </c>
      <c r="G26" s="726">
        <f>10%*D26</f>
        <v/>
      </c>
      <c r="H26" s="713">
        <f>(D26-E26-F26-G26)*100/107.5</f>
        <v/>
      </c>
      <c r="I26" s="714">
        <f>7.5%*H26</f>
        <v/>
      </c>
    </row>
    <row r="27">
      <c r="B27" s="708" t="n">
        <v>17001</v>
      </c>
      <c r="C27" s="709" t="n">
        <v>18000</v>
      </c>
      <c r="D27" s="710">
        <f>IF(0.005*C27&gt;100,100,0.005*C27)</f>
        <v/>
      </c>
      <c r="E27" s="711">
        <f>IF(0.003225*C27&gt;21.5,21.5,0.003225*C27)</f>
        <v/>
      </c>
      <c r="F27" s="726">
        <f>IF(C27*0.0004&gt;25,25,C27*0.0004)</f>
        <v/>
      </c>
      <c r="G27" s="726">
        <f>10%*D27</f>
        <v/>
      </c>
      <c r="H27" s="713">
        <f>(D27-E27-F27-G27)*100/107.5</f>
        <v/>
      </c>
      <c r="I27" s="714">
        <f>7.5%*H27</f>
        <v/>
      </c>
    </row>
    <row r="28">
      <c r="B28" s="708" t="n">
        <v>18001</v>
      </c>
      <c r="C28" s="709" t="n">
        <v>19000</v>
      </c>
      <c r="D28" s="710">
        <f>IF(0.005*C28&gt;100,100,0.005*C28)</f>
        <v/>
      </c>
      <c r="E28" s="711">
        <f>IF(0.003225*C28&gt;21.5,21.5,0.003225*C28)</f>
        <v/>
      </c>
      <c r="F28" s="726">
        <f>IF(C28*0.0004&gt;25,25,C28*0.0004)</f>
        <v/>
      </c>
      <c r="G28" s="726">
        <f>10%*D28</f>
        <v/>
      </c>
      <c r="H28" s="713">
        <f>(D28-E28-F28-G28)*100/107.5</f>
        <v/>
      </c>
      <c r="I28" s="714">
        <f>7.5%*H28</f>
        <v/>
      </c>
    </row>
    <row r="29">
      <c r="B29" s="708" t="n">
        <v>19001</v>
      </c>
      <c r="C29" s="709" t="n">
        <v>20000</v>
      </c>
      <c r="D29" s="710">
        <f>IF(0.005*C29&gt;100,100,0.005*C29)</f>
        <v/>
      </c>
      <c r="E29" s="711">
        <f>IF(0.003225*C29&gt;21.5,21.5,0.003225*C29)</f>
        <v/>
      </c>
      <c r="F29" s="726">
        <f>IF(C29*0.0004&gt;25,25,C29*0.0004)</f>
        <v/>
      </c>
      <c r="G29" s="726">
        <f>10%*D29</f>
        <v/>
      </c>
      <c r="H29" s="713">
        <f>(D29-E29-F29-G29)*100/107.5</f>
        <v/>
      </c>
      <c r="I29" s="714">
        <f>7.5%*H29</f>
        <v/>
      </c>
    </row>
    <row r="30">
      <c r="B30" s="708" t="n">
        <v>20001</v>
      </c>
      <c r="C30" s="709" t="n">
        <v>30000</v>
      </c>
      <c r="D30" s="710">
        <f>IF(0.005*C30&gt;100,100,0.005*C30)</f>
        <v/>
      </c>
      <c r="E30" s="711">
        <f>IF(0.003225*C30&gt;21.5,21.5,0.003225*C30)</f>
        <v/>
      </c>
      <c r="F30" s="726">
        <f>IF(C30*0.0004&gt;25,25,C30*0.0004)</f>
        <v/>
      </c>
      <c r="G30" s="726">
        <f>10%*D30</f>
        <v/>
      </c>
      <c r="H30" s="713">
        <f>(D30-E30-F30-G30)*100/107.5</f>
        <v/>
      </c>
      <c r="I30" s="714">
        <f>7.5%*H30</f>
        <v/>
      </c>
    </row>
    <row r="31">
      <c r="B31" s="708" t="n">
        <v>30001</v>
      </c>
      <c r="C31" s="709" t="n">
        <v>40000</v>
      </c>
      <c r="D31" s="710">
        <f>IF(0.005*C31&gt;100,100,0.005*C31)</f>
        <v/>
      </c>
      <c r="E31" s="711">
        <f>IF(0.003225*C31&gt;21.5,21.5,0.003225*C31)</f>
        <v/>
      </c>
      <c r="F31" s="726">
        <f>IF(C31*0.0004&gt;25,25,C31*0.0004)</f>
        <v/>
      </c>
      <c r="G31" s="726">
        <f>10%*D31</f>
        <v/>
      </c>
      <c r="H31" s="713">
        <f>(D31-E31-F31-G31)*100/107.5</f>
        <v/>
      </c>
      <c r="I31" s="714">
        <f>7.5%*H31</f>
        <v/>
      </c>
    </row>
    <row r="32">
      <c r="B32" s="708" t="n">
        <v>40001</v>
      </c>
      <c r="C32" s="709" t="n">
        <v>50000</v>
      </c>
      <c r="D32" s="710">
        <f>IF(0.005*C32&gt;100,100,0.005*C32)</f>
        <v/>
      </c>
      <c r="E32" s="711">
        <f>IF(0.003225*C32&gt;21.5,21.5,0.003225*C32)</f>
        <v/>
      </c>
      <c r="F32" s="726">
        <f>IF(C32*0.0004&gt;25,25,C32*0.0004)</f>
        <v/>
      </c>
      <c r="G32" s="726">
        <f>10%*D32</f>
        <v/>
      </c>
      <c r="H32" s="713">
        <f>(D32-E32-F32-G32)*100/107.5</f>
        <v/>
      </c>
      <c r="I32" s="714">
        <f>7.5%*H32</f>
        <v/>
      </c>
    </row>
    <row r="33">
      <c r="B33" s="708" t="n">
        <v>50001</v>
      </c>
      <c r="C33" s="709" t="n">
        <v>60000</v>
      </c>
      <c r="D33" s="710">
        <f>IF(0.005*C33&gt;100,100,0.005*C33)</f>
        <v/>
      </c>
      <c r="E33" s="711">
        <f>IF(0.003225*C33&gt;21.5,21.5,0.003225*C33)</f>
        <v/>
      </c>
      <c r="F33" s="726">
        <f>IF(C33*0.0004&gt;25,25,C33*0.0004)</f>
        <v/>
      </c>
      <c r="G33" s="726">
        <f>10%*D33</f>
        <v/>
      </c>
      <c r="H33" s="713">
        <f>(D33-E33-F33-G33)*100/107.5</f>
        <v/>
      </c>
      <c r="I33" s="714">
        <f>7.5%*H33</f>
        <v/>
      </c>
    </row>
    <row r="34">
      <c r="B34" s="708" t="n">
        <v>60001</v>
      </c>
      <c r="C34" s="709" t="n">
        <v>70000</v>
      </c>
      <c r="D34" s="710">
        <f>IF(0.005*C34&gt;100,100,0.005*C34)</f>
        <v/>
      </c>
      <c r="E34" s="711">
        <f>IF(0.003225*C34&gt;21.5,21.5,0.003225*C34)</f>
        <v/>
      </c>
      <c r="F34" s="726">
        <f>IF(C34*0.0004&gt;25,25,C34*0.0004)</f>
        <v/>
      </c>
      <c r="G34" s="726">
        <f>10%*D34</f>
        <v/>
      </c>
      <c r="H34" s="713">
        <f>(D34-E34-F34-G34)*100/107.5</f>
        <v/>
      </c>
      <c r="I34" s="714">
        <f>7.5%*H34</f>
        <v/>
      </c>
    </row>
    <row r="35">
      <c r="B35" s="708" t="n">
        <v>70001</v>
      </c>
      <c r="C35" s="709" t="n">
        <v>80000</v>
      </c>
      <c r="D35" s="710">
        <f>IF(0.005*C35&gt;100,100,0.005*C35)</f>
        <v/>
      </c>
      <c r="E35" s="711">
        <f>IF(0.003225*C35&gt;21.5,21.5,0.003225*C35)</f>
        <v/>
      </c>
      <c r="F35" s="726">
        <f>IF(C35*0.0004&gt;25,25,C35*0.0004)</f>
        <v/>
      </c>
      <c r="G35" s="726">
        <f>10%*D35</f>
        <v/>
      </c>
      <c r="H35" s="713">
        <f>(D35-E35-F35-G35)*100/107.5</f>
        <v/>
      </c>
      <c r="I35" s="714">
        <f>7.5%*H35</f>
        <v/>
      </c>
    </row>
    <row r="36">
      <c r="B36" s="708" t="n">
        <v>80001</v>
      </c>
      <c r="C36" s="709" t="n">
        <v>90000</v>
      </c>
      <c r="D36" s="710">
        <f>IF(0.005*C36&gt;100,100,0.005*C36)</f>
        <v/>
      </c>
      <c r="E36" s="711">
        <f>IF(0.003225*C36&gt;21.5,21.5,0.003225*C36)</f>
        <v/>
      </c>
      <c r="F36" s="726">
        <f>IF(C36*0.0004&gt;25,25,C36*0.0004)</f>
        <v/>
      </c>
      <c r="G36" s="726">
        <f>10%*D36</f>
        <v/>
      </c>
      <c r="H36" s="713">
        <f>(D36-E36-F36-G36)*100/107.5</f>
        <v/>
      </c>
      <c r="I36" s="714">
        <f>7.5%*H36</f>
        <v/>
      </c>
    </row>
    <row r="37" ht="14" customHeight="1" s="581" thickBot="1">
      <c r="B37" s="715" t="n">
        <v>90001</v>
      </c>
      <c r="C37" s="716" t="n">
        <v>100000</v>
      </c>
      <c r="D37" s="717">
        <f>IF(0.005*C37&gt;100,100,0.005*C37)</f>
        <v/>
      </c>
      <c r="E37" s="718">
        <f>IF(0.003225*C37&gt;21.5,21.5,0.003225*C37)</f>
        <v/>
      </c>
      <c r="F37" s="727">
        <f>IF(C37*0.0004&gt;25,25,C37*0.0004)</f>
        <v/>
      </c>
      <c r="G37" s="727">
        <f>10%*D37</f>
        <v/>
      </c>
      <c r="H37" s="720">
        <f>(D37-E37-F37-G37)*100/107.5</f>
        <v/>
      </c>
      <c r="I37" s="721">
        <f>7.5%*H37</f>
        <v/>
      </c>
    </row>
    <row r="38" ht="8" customHeight="1" s="581"/>
    <row r="40" hidden="1" ht="14" customHeight="1" s="581" thickBot="1"/>
    <row r="41" hidden="1" ht="15" customHeight="1" s="581" thickBot="1">
      <c r="B41" s="585" t="inlineStr">
        <is>
          <t>CARD WITHDRAWAL CHARGE SPLIT FOR GOLD AGENT WITH ZONE AS A PROCESSOR</t>
        </is>
      </c>
      <c r="C41" s="573" t="n"/>
      <c r="D41" s="573" t="n"/>
      <c r="E41" s="573" t="n"/>
      <c r="F41" s="573" t="n"/>
      <c r="G41" s="573" t="n"/>
      <c r="H41" s="573" t="n"/>
      <c r="I41" s="574" t="n"/>
    </row>
    <row r="42" hidden="1" ht="27.5" customFormat="1" customHeight="1" s="2" thickBot="1">
      <c r="B42" s="149" t="inlineStr">
        <is>
          <t>Lowest Limit</t>
        </is>
      </c>
      <c r="C42" s="95" t="inlineStr">
        <is>
          <t>Highest Limit</t>
        </is>
      </c>
      <c r="D42" s="150" t="inlineStr">
        <is>
          <t>Total Charge 
(VAT Inclusive)</t>
        </is>
      </c>
      <c r="E42" s="150" t="inlineStr">
        <is>
          <t>ZONE</t>
        </is>
      </c>
      <c r="F42" s="274" t="inlineStr">
        <is>
          <t>SLP (where applicable)</t>
        </is>
      </c>
      <c r="G42" s="212" t="inlineStr">
        <is>
          <t>Cashback to Gold Agent*</t>
        </is>
      </c>
      <c r="H42" s="149" t="inlineStr">
        <is>
          <t>9PSB</t>
        </is>
      </c>
      <c r="I42" s="96" t="inlineStr">
        <is>
          <t>7.5% VAT</t>
        </is>
      </c>
      <c r="J42" s="563" t="n"/>
    </row>
    <row r="43" hidden="1" s="581">
      <c r="B43" s="700" t="n">
        <v>100</v>
      </c>
      <c r="C43" s="701" t="n">
        <v>1000</v>
      </c>
      <c r="D43" s="702">
        <f>IF(0.005*C43&gt;100,100,0.005*C43)</f>
        <v/>
      </c>
      <c r="E43" s="722">
        <f>IF(0.0026875*C43&gt;12.9,12.9,0.0026875*C43)</f>
        <v/>
      </c>
      <c r="F43" s="704">
        <f>IF(C43*0.0004&gt;25,25,C43*0.0004)</f>
        <v/>
      </c>
      <c r="G43" s="725">
        <f>10%*D43</f>
        <v/>
      </c>
      <c r="H43" s="705">
        <f>(D43-E43-F43-G43)*100/107.5</f>
        <v/>
      </c>
      <c r="I43" s="706">
        <f>7.5%*H43</f>
        <v/>
      </c>
      <c r="J43" s="661" t="n"/>
    </row>
    <row r="44" hidden="1" s="581">
      <c r="B44" s="708" t="n">
        <v>1001</v>
      </c>
      <c r="C44" s="709" t="n">
        <v>2000</v>
      </c>
      <c r="D44" s="710">
        <f>IF(0.005*C44&gt;100,100,0.005*C44)</f>
        <v/>
      </c>
      <c r="E44" s="723">
        <f>IF(0.0026875*C44&gt;12.9,12.9,0.0026875*C44)</f>
        <v/>
      </c>
      <c r="F44" s="726">
        <f>IF(C44*0.0004&gt;25,25,C44*0.0004)</f>
        <v/>
      </c>
      <c r="G44" s="726">
        <f>10%*D44</f>
        <v/>
      </c>
      <c r="H44" s="713">
        <f>(D44-E44-F44-G44)*100/107.5</f>
        <v/>
      </c>
      <c r="I44" s="714">
        <f>7.5%*H44</f>
        <v/>
      </c>
    </row>
    <row r="45" hidden="1" s="581">
      <c r="B45" s="708" t="n">
        <v>2001</v>
      </c>
      <c r="C45" s="709" t="n">
        <v>3000</v>
      </c>
      <c r="D45" s="710">
        <f>IF(0.005*C45&gt;100,100,0.005*C45)</f>
        <v/>
      </c>
      <c r="E45" s="723">
        <f>IF(0.0026875*C45&gt;12.9,12.9,0.0026875*C45)</f>
        <v/>
      </c>
      <c r="F45" s="726">
        <f>IF(C45*0.0004&gt;25,25,C45*0.0004)</f>
        <v/>
      </c>
      <c r="G45" s="726">
        <f>10%*D45</f>
        <v/>
      </c>
      <c r="H45" s="713">
        <f>(D45-E45-F45-G45)*100/107.5</f>
        <v/>
      </c>
      <c r="I45" s="714">
        <f>7.5%*H45</f>
        <v/>
      </c>
      <c r="J45" s="164" t="n"/>
    </row>
    <row r="46" hidden="1" s="581">
      <c r="B46" s="708" t="n">
        <v>3001</v>
      </c>
      <c r="C46" s="709" t="n">
        <v>4000</v>
      </c>
      <c r="D46" s="710">
        <f>IF(0.005*C46&gt;100,100,0.005*C46)</f>
        <v/>
      </c>
      <c r="E46" s="723">
        <f>IF(0.0026875*C46&gt;12.9,12.9,0.0026875*C46)</f>
        <v/>
      </c>
      <c r="F46" s="726">
        <f>IF(C46*0.0004&gt;25,25,C46*0.0004)</f>
        <v/>
      </c>
      <c r="G46" s="726">
        <f>10%*D46</f>
        <v/>
      </c>
      <c r="H46" s="713">
        <f>(D46-E46-F46-G46)*100/107.5</f>
        <v/>
      </c>
      <c r="I46" s="714">
        <f>7.5%*H46</f>
        <v/>
      </c>
    </row>
    <row r="47" hidden="1" s="581">
      <c r="B47" s="708" t="n">
        <v>4001</v>
      </c>
      <c r="C47" s="709" t="n">
        <v>5000</v>
      </c>
      <c r="D47" s="710">
        <f>IF(0.005*C47&gt;100,100,0.005*C47)</f>
        <v/>
      </c>
      <c r="E47" s="723">
        <f>IF(0.0026875*C47&gt;12.9,12.9,0.0026875*C47)</f>
        <v/>
      </c>
      <c r="F47" s="726">
        <f>IF(C47*0.0004&gt;25,25,C47*0.0004)</f>
        <v/>
      </c>
      <c r="G47" s="726">
        <f>10%*D47</f>
        <v/>
      </c>
      <c r="H47" s="713">
        <f>(D47-E47-F47-G47)*100/107.5</f>
        <v/>
      </c>
      <c r="I47" s="714">
        <f>7.5%*H47</f>
        <v/>
      </c>
    </row>
    <row r="48" hidden="1" s="581">
      <c r="B48" s="708" t="n">
        <v>5001</v>
      </c>
      <c r="C48" s="709" t="n">
        <v>6000</v>
      </c>
      <c r="D48" s="710">
        <f>IF(0.005*C48&gt;100,100,0.005*C48)</f>
        <v/>
      </c>
      <c r="E48" s="723">
        <f>IF(0.0026875*C48&gt;12.9,12.9,0.0026875*C48)</f>
        <v/>
      </c>
      <c r="F48" s="726">
        <f>IF(C48*0.0004&gt;25,25,C48*0.0004)</f>
        <v/>
      </c>
      <c r="G48" s="726">
        <f>10%*D48</f>
        <v/>
      </c>
      <c r="H48" s="713">
        <f>(D48-E48-F48-G48)*100/107.5</f>
        <v/>
      </c>
      <c r="I48" s="714">
        <f>7.5%*H48</f>
        <v/>
      </c>
    </row>
    <row r="49" hidden="1" s="581">
      <c r="B49" s="708" t="n">
        <v>6001</v>
      </c>
      <c r="C49" s="709" t="n">
        <v>7000</v>
      </c>
      <c r="D49" s="710">
        <f>IF(0.005*C49&gt;100,100,0.005*C49)</f>
        <v/>
      </c>
      <c r="E49" s="723">
        <f>IF(0.0026875*C49&gt;12.9,12.9,0.0026875*C49)</f>
        <v/>
      </c>
      <c r="F49" s="726">
        <f>IF(C49*0.0004&gt;25,25,C49*0.0004)</f>
        <v/>
      </c>
      <c r="G49" s="726">
        <f>10%*D49</f>
        <v/>
      </c>
      <c r="H49" s="713">
        <f>(D49-E49-F49-G49)*100/107.5</f>
        <v/>
      </c>
      <c r="I49" s="714">
        <f>7.5%*H49</f>
        <v/>
      </c>
    </row>
    <row r="50" hidden="1" s="581">
      <c r="B50" s="708" t="n">
        <v>7001</v>
      </c>
      <c r="C50" s="709" t="n">
        <v>8000</v>
      </c>
      <c r="D50" s="710">
        <f>IF(0.005*C50&gt;100,100,0.005*C50)</f>
        <v/>
      </c>
      <c r="E50" s="723">
        <f>IF(0.0026875*C50&gt;12.9,12.9,0.0026875*C50)</f>
        <v/>
      </c>
      <c r="F50" s="726">
        <f>IF(C50*0.0004&gt;25,25,C50*0.0004)</f>
        <v/>
      </c>
      <c r="G50" s="726">
        <f>10%*D50</f>
        <v/>
      </c>
      <c r="H50" s="713">
        <f>(D50-E50-F50-G50)*100/107.5</f>
        <v/>
      </c>
      <c r="I50" s="714">
        <f>7.5%*H50</f>
        <v/>
      </c>
    </row>
    <row r="51" hidden="1" s="581">
      <c r="B51" s="708" t="n">
        <v>8001</v>
      </c>
      <c r="C51" s="709" t="n">
        <v>9000</v>
      </c>
      <c r="D51" s="710">
        <f>IF(0.005*C51&gt;100,100,0.005*C51)</f>
        <v/>
      </c>
      <c r="E51" s="723">
        <f>IF(0.0026875*C51&gt;12.9,12.9,0.0026875*C51)</f>
        <v/>
      </c>
      <c r="F51" s="726">
        <f>IF(C51*0.0004&gt;25,25,C51*0.0004)</f>
        <v/>
      </c>
      <c r="G51" s="726">
        <f>10%*D51</f>
        <v/>
      </c>
      <c r="H51" s="713">
        <f>(D51-E51-F51-G51)*100/107.5</f>
        <v/>
      </c>
      <c r="I51" s="714">
        <f>7.5%*H51</f>
        <v/>
      </c>
    </row>
    <row r="52" hidden="1" s="581">
      <c r="B52" s="708" t="n">
        <v>9001</v>
      </c>
      <c r="C52" s="709" t="n">
        <v>10000</v>
      </c>
      <c r="D52" s="710">
        <f>IF(0.005*C52&gt;100,100,0.005*C52)</f>
        <v/>
      </c>
      <c r="E52" s="723">
        <f>IF(0.0026875*C52&gt;12.9,12.9,0.0026875*C52)</f>
        <v/>
      </c>
      <c r="F52" s="726">
        <f>IF(C52*0.0004&gt;25,25,C52*0.0004)</f>
        <v/>
      </c>
      <c r="G52" s="726">
        <f>10%*D52</f>
        <v/>
      </c>
      <c r="H52" s="713">
        <f>(D52-E52-F52-G52)*100/107.5</f>
        <v/>
      </c>
      <c r="I52" s="714">
        <f>7.5%*H52</f>
        <v/>
      </c>
    </row>
    <row r="53" hidden="1" s="581">
      <c r="B53" s="708" t="n">
        <v>10001</v>
      </c>
      <c r="C53" s="709" t="n">
        <v>11000</v>
      </c>
      <c r="D53" s="710">
        <f>IF(0.005*C53&gt;100,100,0.005*C53)</f>
        <v/>
      </c>
      <c r="E53" s="723">
        <f>IF(0.0026875*C53&gt;12.9,12.9,0.0026875*C53)</f>
        <v/>
      </c>
      <c r="F53" s="726">
        <f>IF(C53*0.0004&gt;25,25,C53*0.0004)</f>
        <v/>
      </c>
      <c r="G53" s="726">
        <f>10%*D53</f>
        <v/>
      </c>
      <c r="H53" s="713">
        <f>(D53-E53-F53-G53)*100/107.5</f>
        <v/>
      </c>
      <c r="I53" s="714">
        <f>7.5%*H53</f>
        <v/>
      </c>
    </row>
    <row r="54" hidden="1" s="581">
      <c r="B54" s="708" t="n">
        <v>11001</v>
      </c>
      <c r="C54" s="709" t="n">
        <v>12000</v>
      </c>
      <c r="D54" s="710">
        <f>IF(0.005*C54&gt;100,100,0.005*C54)</f>
        <v/>
      </c>
      <c r="E54" s="723">
        <f>IF(0.0026875*C54&gt;12.9,12.9,0.0026875*C54)</f>
        <v/>
      </c>
      <c r="F54" s="726">
        <f>IF(C54*0.0004&gt;25,25,C54*0.0004)</f>
        <v/>
      </c>
      <c r="G54" s="726">
        <f>10%*D54</f>
        <v/>
      </c>
      <c r="H54" s="713">
        <f>(D54-E54-F54-G54)*100/107.5</f>
        <v/>
      </c>
      <c r="I54" s="714">
        <f>7.5%*H54</f>
        <v/>
      </c>
    </row>
    <row r="55" hidden="1" s="581">
      <c r="B55" s="708" t="n">
        <v>12001</v>
      </c>
      <c r="C55" s="709" t="n">
        <v>13000</v>
      </c>
      <c r="D55" s="710">
        <f>IF(0.005*C55&gt;100,100,0.005*C55)</f>
        <v/>
      </c>
      <c r="E55" s="723">
        <f>IF(0.0026875*C55&gt;12.9,12.9,0.0026875*C55)</f>
        <v/>
      </c>
      <c r="F55" s="726">
        <f>IF(C55*0.0004&gt;25,25,C55*0.0004)</f>
        <v/>
      </c>
      <c r="G55" s="726">
        <f>10%*D55</f>
        <v/>
      </c>
      <c r="H55" s="713">
        <f>(D55-E55-F55-G55)*100/107.5</f>
        <v/>
      </c>
      <c r="I55" s="714">
        <f>7.5%*H55</f>
        <v/>
      </c>
    </row>
    <row r="56" hidden="1" s="581">
      <c r="B56" s="708" t="n">
        <v>13001</v>
      </c>
      <c r="C56" s="709" t="n">
        <v>14000</v>
      </c>
      <c r="D56" s="710">
        <f>IF(0.005*C56&gt;100,100,0.005*C56)</f>
        <v/>
      </c>
      <c r="E56" s="723">
        <f>IF(0.0026875*C56&gt;12.9,12.9,0.0026875*C56)</f>
        <v/>
      </c>
      <c r="F56" s="726">
        <f>IF(C56*0.0004&gt;25,25,C56*0.0004)</f>
        <v/>
      </c>
      <c r="G56" s="726">
        <f>10%*D56</f>
        <v/>
      </c>
      <c r="H56" s="713">
        <f>(D56-E56-F56-G56)*100/107.5</f>
        <v/>
      </c>
      <c r="I56" s="714">
        <f>7.5%*H56</f>
        <v/>
      </c>
    </row>
    <row r="57" hidden="1" s="581">
      <c r="B57" s="708" t="n">
        <v>14001</v>
      </c>
      <c r="C57" s="709" t="n">
        <v>15000</v>
      </c>
      <c r="D57" s="710">
        <f>IF(0.005*C57&gt;100,100,0.005*C57)</f>
        <v/>
      </c>
      <c r="E57" s="723">
        <f>IF(0.0026875*C57&gt;12.9,12.9,0.0026875*C57)</f>
        <v/>
      </c>
      <c r="F57" s="726">
        <f>IF(C57*0.0004&gt;25,25,C57*0.0004)</f>
        <v/>
      </c>
      <c r="G57" s="726">
        <f>10%*D57</f>
        <v/>
      </c>
      <c r="H57" s="713">
        <f>(D57-E57-F57-G57)*100/107.5</f>
        <v/>
      </c>
      <c r="I57" s="714">
        <f>7.5%*H57</f>
        <v/>
      </c>
    </row>
    <row r="58" hidden="1" s="581">
      <c r="B58" s="708" t="n">
        <v>15001</v>
      </c>
      <c r="C58" s="709" t="n">
        <v>16000</v>
      </c>
      <c r="D58" s="710">
        <f>IF(0.005*C58&gt;100,100,0.005*C58)</f>
        <v/>
      </c>
      <c r="E58" s="723">
        <f>IF(0.0026875*C58&gt;12.9,12.9,0.0026875*C58)</f>
        <v/>
      </c>
      <c r="F58" s="726">
        <f>IF(C58*0.0004&gt;25,25,C58*0.0004)</f>
        <v/>
      </c>
      <c r="G58" s="726">
        <f>10%*D58</f>
        <v/>
      </c>
      <c r="H58" s="713">
        <f>(D58-E58-F58-G58)*100/107.5</f>
        <v/>
      </c>
      <c r="I58" s="714">
        <f>7.5%*H58</f>
        <v/>
      </c>
    </row>
    <row r="59" hidden="1" s="581">
      <c r="B59" s="708" t="n">
        <v>16001</v>
      </c>
      <c r="C59" s="709" t="n">
        <v>17000</v>
      </c>
      <c r="D59" s="710">
        <f>IF(0.005*C59&gt;100,100,0.005*C59)</f>
        <v/>
      </c>
      <c r="E59" s="723">
        <f>IF(0.0026875*C59&gt;12.9,12.9,0.0026875*C59)</f>
        <v/>
      </c>
      <c r="F59" s="726">
        <f>IF(C59*0.0004&gt;25,25,C59*0.0004)</f>
        <v/>
      </c>
      <c r="G59" s="726">
        <f>10%*D59</f>
        <v/>
      </c>
      <c r="H59" s="713">
        <f>(D59-E59-F59-G59)*100/107.5</f>
        <v/>
      </c>
      <c r="I59" s="714">
        <f>7.5%*H59</f>
        <v/>
      </c>
    </row>
    <row r="60" hidden="1" s="581">
      <c r="B60" s="708" t="n">
        <v>17001</v>
      </c>
      <c r="C60" s="709" t="n">
        <v>18000</v>
      </c>
      <c r="D60" s="710">
        <f>IF(0.005*C60&gt;100,100,0.005*C60)</f>
        <v/>
      </c>
      <c r="E60" s="723">
        <f>IF(0.0026875*C60&gt;12.9,12.9,0.0026875*C60)</f>
        <v/>
      </c>
      <c r="F60" s="726">
        <f>IF(C60*0.0004&gt;25,25,C60*0.0004)</f>
        <v/>
      </c>
      <c r="G60" s="726">
        <f>10%*D60</f>
        <v/>
      </c>
      <c r="H60" s="713">
        <f>(D60-E60-F60-G60)*100/107.5</f>
        <v/>
      </c>
      <c r="I60" s="714">
        <f>7.5%*H60</f>
        <v/>
      </c>
    </row>
    <row r="61" hidden="1" s="581">
      <c r="B61" s="708" t="n">
        <v>18001</v>
      </c>
      <c r="C61" s="709" t="n">
        <v>19000</v>
      </c>
      <c r="D61" s="710">
        <f>IF(0.005*C61&gt;100,100,0.005*C61)</f>
        <v/>
      </c>
      <c r="E61" s="723">
        <f>IF(0.0026875*C61&gt;12.9,12.9,0.0026875*C61)</f>
        <v/>
      </c>
      <c r="F61" s="726">
        <f>IF(C61*0.0004&gt;25,25,C61*0.0004)</f>
        <v/>
      </c>
      <c r="G61" s="726">
        <f>10%*D61</f>
        <v/>
      </c>
      <c r="H61" s="713">
        <f>(D61-E61-F61-G61)*100/107.5</f>
        <v/>
      </c>
      <c r="I61" s="714">
        <f>7.5%*H61</f>
        <v/>
      </c>
    </row>
    <row r="62" hidden="1" s="581">
      <c r="B62" s="708" t="n">
        <v>19001</v>
      </c>
      <c r="C62" s="709" t="n">
        <v>20000</v>
      </c>
      <c r="D62" s="710">
        <f>IF(0.005*C62&gt;100,100,0.005*C62)</f>
        <v/>
      </c>
      <c r="E62" s="723">
        <f>IF(0.0026875*C62&gt;12.9,12.9,0.0026875*C62)</f>
        <v/>
      </c>
      <c r="F62" s="726">
        <f>IF(C62*0.0004&gt;25,25,C62*0.0004)</f>
        <v/>
      </c>
      <c r="G62" s="726">
        <f>10%*D62</f>
        <v/>
      </c>
      <c r="H62" s="713">
        <f>(D62-E62-F62-G62)*100/107.5</f>
        <v/>
      </c>
      <c r="I62" s="714">
        <f>7.5%*H62</f>
        <v/>
      </c>
    </row>
    <row r="63" hidden="1" s="581">
      <c r="B63" s="708" t="n">
        <v>20001</v>
      </c>
      <c r="C63" s="709" t="n">
        <v>30000</v>
      </c>
      <c r="D63" s="710">
        <f>IF(0.005*C63&gt;100,100,0.005*C63)</f>
        <v/>
      </c>
      <c r="E63" s="723">
        <f>IF(0.0026875*C63&gt;12.9,12.9,0.0026875*C63)</f>
        <v/>
      </c>
      <c r="F63" s="726">
        <f>IF(C63*0.0004&gt;25,25,C63*0.0004)</f>
        <v/>
      </c>
      <c r="G63" s="726">
        <f>10%*D63</f>
        <v/>
      </c>
      <c r="H63" s="713">
        <f>(D63-E63-F63-G63)*100/107.5</f>
        <v/>
      </c>
      <c r="I63" s="714">
        <f>7.5%*H63</f>
        <v/>
      </c>
    </row>
    <row r="64" hidden="1" s="581">
      <c r="B64" s="708" t="n">
        <v>30001</v>
      </c>
      <c r="C64" s="709" t="n">
        <v>40000</v>
      </c>
      <c r="D64" s="710">
        <f>IF(0.005*C64&gt;100,100,0.005*C64)</f>
        <v/>
      </c>
      <c r="E64" s="723">
        <f>IF(0.0026875*C64&gt;12.9,12.9,0.0026875*C64)</f>
        <v/>
      </c>
      <c r="F64" s="726">
        <f>IF(C64*0.0004&gt;25,25,C64*0.0004)</f>
        <v/>
      </c>
      <c r="G64" s="726">
        <f>10%*D64</f>
        <v/>
      </c>
      <c r="H64" s="713">
        <f>(D64-E64-F64-G64)*100/107.5</f>
        <v/>
      </c>
      <c r="I64" s="714">
        <f>7.5%*H64</f>
        <v/>
      </c>
    </row>
    <row r="65" hidden="1" s="581">
      <c r="B65" s="708" t="n">
        <v>40001</v>
      </c>
      <c r="C65" s="709" t="n">
        <v>50000</v>
      </c>
      <c r="D65" s="710">
        <f>IF(0.005*C65&gt;100,100,0.005*C65)</f>
        <v/>
      </c>
      <c r="E65" s="723">
        <f>IF(0.0026875*C65&gt;12.9,12.9,0.0026875*C65)</f>
        <v/>
      </c>
      <c r="F65" s="726">
        <f>IF(C65*0.0004&gt;25,25,C65*0.0004)</f>
        <v/>
      </c>
      <c r="G65" s="726">
        <f>10%*D65</f>
        <v/>
      </c>
      <c r="H65" s="713">
        <f>(D65-E65-F65-G65)*100/107.5</f>
        <v/>
      </c>
      <c r="I65" s="714">
        <f>7.5%*H65</f>
        <v/>
      </c>
    </row>
    <row r="66" hidden="1" s="581">
      <c r="B66" s="708" t="n">
        <v>50001</v>
      </c>
      <c r="C66" s="709" t="n">
        <v>60000</v>
      </c>
      <c r="D66" s="710">
        <f>IF(0.005*C66&gt;100,100,0.005*C66)</f>
        <v/>
      </c>
      <c r="E66" s="723">
        <f>IF(0.0026875*C66&gt;12.9,12.9,0.0026875*C66)</f>
        <v/>
      </c>
      <c r="F66" s="726">
        <f>IF(C66*0.0004&gt;25,25,C66*0.0004)</f>
        <v/>
      </c>
      <c r="G66" s="726">
        <f>10%*D66</f>
        <v/>
      </c>
      <c r="H66" s="713">
        <f>(D66-E66-F66-G66)*100/107.5</f>
        <v/>
      </c>
      <c r="I66" s="714">
        <f>7.5%*H66</f>
        <v/>
      </c>
    </row>
    <row r="67" hidden="1" s="581">
      <c r="B67" s="708" t="n">
        <v>60001</v>
      </c>
      <c r="C67" s="709" t="n">
        <v>70000</v>
      </c>
      <c r="D67" s="710">
        <f>IF(0.005*C67&gt;100,100,0.005*C67)</f>
        <v/>
      </c>
      <c r="E67" s="723">
        <f>IF(0.0026875*C67&gt;12.9,12.9,0.0026875*C67)</f>
        <v/>
      </c>
      <c r="F67" s="726">
        <f>IF(C67*0.0004&gt;25,25,C67*0.0004)</f>
        <v/>
      </c>
      <c r="G67" s="726">
        <f>10%*D67</f>
        <v/>
      </c>
      <c r="H67" s="713">
        <f>(D67-E67-F67-G67)*100/107.5</f>
        <v/>
      </c>
      <c r="I67" s="714">
        <f>7.5%*H67</f>
        <v/>
      </c>
    </row>
    <row r="68" hidden="1" s="581">
      <c r="B68" s="708" t="n">
        <v>70001</v>
      </c>
      <c r="C68" s="709" t="n">
        <v>80000</v>
      </c>
      <c r="D68" s="710">
        <f>IF(0.005*C68&gt;100,100,0.005*C68)</f>
        <v/>
      </c>
      <c r="E68" s="723">
        <f>IF(0.0026875*C68&gt;12.9,12.9,0.0026875*C68)</f>
        <v/>
      </c>
      <c r="F68" s="726">
        <f>IF(C68*0.0004&gt;25,25,C68*0.0004)</f>
        <v/>
      </c>
      <c r="G68" s="726">
        <f>10%*D68</f>
        <v/>
      </c>
      <c r="H68" s="713">
        <f>(D68-E68-F68-G68)*100/107.5</f>
        <v/>
      </c>
      <c r="I68" s="714">
        <f>7.5%*H68</f>
        <v/>
      </c>
    </row>
    <row r="69" hidden="1" s="581">
      <c r="B69" s="708" t="n">
        <v>80001</v>
      </c>
      <c r="C69" s="709" t="n">
        <v>90000</v>
      </c>
      <c r="D69" s="710">
        <f>IF(0.005*C69&gt;100,100,0.005*C69)</f>
        <v/>
      </c>
      <c r="E69" s="723">
        <f>IF(0.0026875*C69&gt;12.9,12.9,0.0026875*C69)</f>
        <v/>
      </c>
      <c r="F69" s="726">
        <f>IF(C69*0.0004&gt;25,25,C69*0.0004)</f>
        <v/>
      </c>
      <c r="G69" s="726">
        <f>10%*D69</f>
        <v/>
      </c>
      <c r="H69" s="713">
        <f>(D69-E69-F69-G69)*100/107.5</f>
        <v/>
      </c>
      <c r="I69" s="714">
        <f>7.5%*H69</f>
        <v/>
      </c>
    </row>
    <row r="70" hidden="1" ht="14" customHeight="1" s="581" thickBot="1">
      <c r="B70" s="715" t="n">
        <v>90001</v>
      </c>
      <c r="C70" s="716" t="n">
        <v>100000</v>
      </c>
      <c r="D70" s="717">
        <f>IF(0.005*C70&gt;100,100,0.005*C70)</f>
        <v/>
      </c>
      <c r="E70" s="724">
        <f>IF(0.0026875*C70&gt;12.9,12.9,0.0026875*C70)</f>
        <v/>
      </c>
      <c r="F70" s="727">
        <f>IF(C70*0.0004&gt;25,25,C70*0.0004)</f>
        <v/>
      </c>
      <c r="G70" s="727">
        <f>10%*D70</f>
        <v/>
      </c>
      <c r="H70" s="720">
        <f>(D70-E70-F70-G70)*100/107.5</f>
        <v/>
      </c>
      <c r="I70" s="721">
        <f>7.5%*H70</f>
        <v/>
      </c>
    </row>
    <row r="71" hidden="1" s="581"/>
  </sheetData>
  <mergeCells count="7">
    <mergeCell ref="B6:L6"/>
    <mergeCell ref="B8:I8"/>
    <mergeCell ref="B3:I3"/>
    <mergeCell ref="B5:I5"/>
    <mergeCell ref="B41:I41"/>
    <mergeCell ref="B4:M4"/>
    <mergeCell ref="B2:N2"/>
  </mergeCells>
  <pageMargins left="0.7" right="0.7" top="0.75" bottom="0.75" header="0.3" footer="0.3"/>
  <pageSetup orientation="portrait" paperSize="9" scale="76"/>
</worksheet>
</file>

<file path=xl/worksheets/sheet9.xml><?xml version="1.0" encoding="utf-8"?>
<worksheet xmlns="http://schemas.openxmlformats.org/spreadsheetml/2006/main">
  <sheetPr>
    <tabColor theme="1"/>
    <outlinePr summaryBelow="1" summaryRight="1"/>
    <pageSetUpPr fitToPage="1"/>
  </sheetPr>
  <dimension ref="B1:N71"/>
  <sheetViews>
    <sheetView zoomScale="85" zoomScaleNormal="85" workbookViewId="0">
      <selection activeCell="L24" sqref="L24"/>
    </sheetView>
  </sheetViews>
  <sheetFormatPr baseColWidth="8" defaultRowHeight="13.5"/>
  <cols>
    <col width="5.26953125" customWidth="1" style="563" min="1" max="1"/>
    <col width="14.26953125" bestFit="1" customWidth="1" style="142" min="2" max="2"/>
    <col width="14.54296875" bestFit="1" customWidth="1" style="563" min="3" max="3"/>
    <col width="18.1796875" customWidth="1" style="563" min="4" max="4"/>
    <col width="13.54296875" customWidth="1" style="563" min="5" max="6"/>
    <col width="16.90625" customWidth="1" style="563" min="7" max="7"/>
    <col width="13.1796875" customWidth="1" style="563" min="8" max="8"/>
    <col width="11.453125" customWidth="1" style="563" min="9" max="9"/>
    <col width="9.54296875" bestFit="1" customWidth="1" style="563" min="10" max="10"/>
    <col width="8.7265625" customWidth="1" style="563" min="11" max="11"/>
    <col width="8.7265625" customWidth="1" style="563" min="12" max="16384"/>
  </cols>
  <sheetData>
    <row r="1" customFormat="1" s="145">
      <c r="B1" s="144" t="inlineStr">
        <is>
          <t>Key Notes:</t>
        </is>
      </c>
      <c r="C1" s="144" t="n"/>
      <c r="D1" s="144" t="n"/>
      <c r="E1" s="144" t="n"/>
      <c r="F1" s="144" t="n"/>
      <c r="G1" s="144" t="n"/>
      <c r="H1" s="144" t="n"/>
      <c r="I1" s="144" t="n"/>
    </row>
    <row r="2" customFormat="1" s="584">
      <c r="B2" s="583" t="inlineStr">
        <is>
          <t>1. Agents are charged based on the highest limit per band (even when the transaction amount falls within the band i.e. for transaction of N2,400; N3,000 will be used to compute the fees)</t>
        </is>
      </c>
    </row>
    <row r="3" customFormat="1" s="584">
      <c r="B3" s="583" t="inlineStr">
        <is>
          <t>2. All charges are VAT-inclusive</t>
        </is>
      </c>
    </row>
    <row r="4" customFormat="1" s="584">
      <c r="B4" s="583" t="inlineStr">
        <is>
          <t>3. Fees to 9PSB should be computed as the difference between the total fee charged and summation of fees due to other stakeholders (including 20% cashback to Agent)</t>
        </is>
      </c>
    </row>
    <row r="5" customFormat="1" s="584">
      <c r="B5" s="583" t="inlineStr">
        <is>
          <t>4. VAT should be calculated and deducted from fees due to 9PSB.</t>
        </is>
      </c>
    </row>
    <row r="6" customFormat="1" s="584">
      <c r="B6" s="583" t="inlineStr">
        <is>
          <t>5. 10% WHT will apply to the accumulated Agent's commissions at the point of withdrawal to the main wallet</t>
        </is>
      </c>
    </row>
    <row r="7" ht="8" customHeight="1" s="581">
      <c r="B7" s="699" t="inlineStr">
        <is>
          <t>6. Processor fee basis: the processor fee (ISW, or ZONE in the ZONE-processor table) is charged at its rate on the ACTUAL transaction amount, not on the band's highest limit. Because the agent is charged on the band's highest limit (see Note 1) while the processor fee scales with the actual amount, the ISW/ZONE and 9PSB columns below show the BAND-CEILING case (maximum processor fee, minimum 9PSB). For any transaction below the band's highest limit, the actual ISW/ZONE fee is proportionally lower and 9PSB's margin is correspondingly higher than the figure shown.</t>
        </is>
      </c>
    </row>
    <row r="8" ht="8" customHeight="1" s="581" thickBot="1"/>
    <row r="9" ht="14" customHeight="1" s="581" thickBot="1">
      <c r="B9" s="585" t="inlineStr">
        <is>
          <t>CARD WITHDRAWAL CHARGE SPLIT FOR PLATINUM AGENT WITH ISW AS A PROCESSOR</t>
        </is>
      </c>
      <c r="C9" s="573" t="n"/>
      <c r="D9" s="573" t="n"/>
      <c r="E9" s="573" t="n"/>
      <c r="F9" s="573" t="n"/>
      <c r="G9" s="573" t="n"/>
      <c r="H9" s="573" t="n"/>
      <c r="I9" s="574" t="n"/>
    </row>
    <row r="10" ht="41" customFormat="1" customHeight="1" s="2" thickBot="1">
      <c r="B10" s="149" t="inlineStr">
        <is>
          <t>Lowest Limit</t>
        </is>
      </c>
      <c r="C10" s="95" t="inlineStr">
        <is>
          <t>Highest Limit</t>
        </is>
      </c>
      <c r="D10" s="150" t="inlineStr">
        <is>
          <t>Total Charge 
(VAT Inclusive)</t>
        </is>
      </c>
      <c r="E10" s="150" t="inlineStr">
        <is>
          <t>ISW</t>
        </is>
      </c>
      <c r="F10" s="274" t="inlineStr">
        <is>
          <t>SLP (where applicable)</t>
        </is>
      </c>
      <c r="G10" s="212" t="inlineStr">
        <is>
          <t>Cashback to Platinum Agent*</t>
        </is>
      </c>
      <c r="H10" s="149" t="inlineStr">
        <is>
          <t>9PSB</t>
        </is>
      </c>
      <c r="I10" s="96" t="inlineStr">
        <is>
          <t>7.5% VAT</t>
        </is>
      </c>
      <c r="J10" s="563" t="n"/>
    </row>
    <row r="11">
      <c r="B11" s="700" t="n">
        <v>100</v>
      </c>
      <c r="C11" s="701" t="n">
        <v>1000</v>
      </c>
      <c r="D11" s="702">
        <f>IF(0.005*C11&gt;100,100,0.005*C11)</f>
        <v/>
      </c>
      <c r="E11" s="703">
        <f>IF(0.003225*C11&gt;21.5,21.5,0.003225*C11)</f>
        <v/>
      </c>
      <c r="F11" s="704">
        <f>IF(C11*0.0004&gt;25,25,C11*0.0004)</f>
        <v/>
      </c>
      <c r="G11" s="725">
        <f>20%*D11</f>
        <v/>
      </c>
      <c r="H11" s="705">
        <f>(D11-E11-F11-G11)*100/107.5</f>
        <v/>
      </c>
      <c r="I11" s="706">
        <f>7.5%*H11</f>
        <v/>
      </c>
      <c r="J11" s="661" t="n"/>
    </row>
    <row r="12">
      <c r="B12" s="708" t="n">
        <v>1001</v>
      </c>
      <c r="C12" s="709" t="n">
        <v>2000</v>
      </c>
      <c r="D12" s="710">
        <f>IF(0.005*C12&gt;100,100,0.005*C12)</f>
        <v/>
      </c>
      <c r="E12" s="711">
        <f>IF(0.003225*C12&gt;21.5,21.5,0.003225*C12)</f>
        <v/>
      </c>
      <c r="F12" s="726">
        <f>IF(C12*0.0004&gt;25,25,C12*0.0004)</f>
        <v/>
      </c>
      <c r="G12" s="726">
        <f>20%*D12</f>
        <v/>
      </c>
      <c r="H12" s="713">
        <f>(D12-E12-F12-G12)*100/107.5</f>
        <v/>
      </c>
      <c r="I12" s="714">
        <f>7.5%*H12</f>
        <v/>
      </c>
    </row>
    <row r="13">
      <c r="B13" s="708" t="n">
        <v>2001</v>
      </c>
      <c r="C13" s="709" t="n">
        <v>3000</v>
      </c>
      <c r="D13" s="710">
        <f>IF(0.005*C13&gt;100,100,0.005*C13)</f>
        <v/>
      </c>
      <c r="E13" s="711">
        <f>IF(0.003225*C13&gt;21.5,21.5,0.003225*C13)</f>
        <v/>
      </c>
      <c r="F13" s="726">
        <f>IF(C13*0.0004&gt;25,25,C13*0.0004)</f>
        <v/>
      </c>
      <c r="G13" s="726">
        <f>20%*D13</f>
        <v/>
      </c>
      <c r="H13" s="713">
        <f>(D13-E13-F13-G13)*100/107.5</f>
        <v/>
      </c>
      <c r="I13" s="714">
        <f>7.5%*H13</f>
        <v/>
      </c>
      <c r="J13" s="164" t="n"/>
    </row>
    <row r="14">
      <c r="B14" s="708" t="n">
        <v>3001</v>
      </c>
      <c r="C14" s="709" t="n">
        <v>4000</v>
      </c>
      <c r="D14" s="710">
        <f>IF(0.005*C14&gt;100,100,0.005*C14)</f>
        <v/>
      </c>
      <c r="E14" s="711">
        <f>IF(0.003225*C14&gt;21.5,21.5,0.003225*C14)</f>
        <v/>
      </c>
      <c r="F14" s="726">
        <f>IF(C14*0.0004&gt;25,25,C14*0.0004)</f>
        <v/>
      </c>
      <c r="G14" s="726">
        <f>20%*D14</f>
        <v/>
      </c>
      <c r="H14" s="713">
        <f>(D14-E14-F14-G14)*100/107.5</f>
        <v/>
      </c>
      <c r="I14" s="714">
        <f>7.5%*H14</f>
        <v/>
      </c>
    </row>
    <row r="15">
      <c r="B15" s="708" t="n">
        <v>4001</v>
      </c>
      <c r="C15" s="709" t="n">
        <v>5000</v>
      </c>
      <c r="D15" s="710">
        <f>IF(0.005*C15&gt;100,100,0.005*C15)</f>
        <v/>
      </c>
      <c r="E15" s="711">
        <f>IF(0.003225*C15&gt;21.5,21.5,0.003225*C15)</f>
        <v/>
      </c>
      <c r="F15" s="726">
        <f>IF(C15*0.0004&gt;25,25,C15*0.0004)</f>
        <v/>
      </c>
      <c r="G15" s="726">
        <f>20%*D15</f>
        <v/>
      </c>
      <c r="H15" s="713">
        <f>(D15-E15-F15-G15)*100/107.5</f>
        <v/>
      </c>
      <c r="I15" s="714">
        <f>7.5%*H15</f>
        <v/>
      </c>
    </row>
    <row r="16">
      <c r="B16" s="708" t="n">
        <v>5001</v>
      </c>
      <c r="C16" s="709" t="n">
        <v>6000</v>
      </c>
      <c r="D16" s="710">
        <f>IF(0.005*C16&gt;100,100,0.005*C16)</f>
        <v/>
      </c>
      <c r="E16" s="711">
        <f>IF(0.003225*C16&gt;21.5,21.5,0.003225*C16)</f>
        <v/>
      </c>
      <c r="F16" s="726">
        <f>IF(C16*0.0004&gt;25,25,C16*0.0004)</f>
        <v/>
      </c>
      <c r="G16" s="726">
        <f>20%*D16</f>
        <v/>
      </c>
      <c r="H16" s="713">
        <f>(D16-E16-F16-G16)*100/107.5</f>
        <v/>
      </c>
      <c r="I16" s="714">
        <f>7.5%*H16</f>
        <v/>
      </c>
    </row>
    <row r="17">
      <c r="B17" s="708" t="n">
        <v>6001</v>
      </c>
      <c r="C17" s="709" t="n">
        <v>7000</v>
      </c>
      <c r="D17" s="710">
        <f>IF(0.005*C17&gt;100,100,0.005*C17)</f>
        <v/>
      </c>
      <c r="E17" s="711">
        <f>IF(0.003225*C17&gt;21.5,21.5,0.003225*C17)</f>
        <v/>
      </c>
      <c r="F17" s="726">
        <f>IF(C17*0.0004&gt;25,25,C17*0.0004)</f>
        <v/>
      </c>
      <c r="G17" s="726">
        <f>20%*D17</f>
        <v/>
      </c>
      <c r="H17" s="713">
        <f>(D17-E17-F17-G17)*100/107.5</f>
        <v/>
      </c>
      <c r="I17" s="714">
        <f>7.5%*H17</f>
        <v/>
      </c>
    </row>
    <row r="18">
      <c r="B18" s="708" t="n">
        <v>7001</v>
      </c>
      <c r="C18" s="709" t="n">
        <v>8000</v>
      </c>
      <c r="D18" s="710">
        <f>IF(0.005*C18&gt;100,100,0.005*C18)</f>
        <v/>
      </c>
      <c r="E18" s="711">
        <f>IF(0.003225*C18&gt;21.5,21.5,0.003225*C18)</f>
        <v/>
      </c>
      <c r="F18" s="726">
        <f>IF(C18*0.0004&gt;25,25,C18*0.0004)</f>
        <v/>
      </c>
      <c r="G18" s="726">
        <f>20%*D18</f>
        <v/>
      </c>
      <c r="H18" s="713">
        <f>(D18-E18-F18-G18)*100/107.5</f>
        <v/>
      </c>
      <c r="I18" s="714">
        <f>7.5%*H18</f>
        <v/>
      </c>
    </row>
    <row r="19">
      <c r="B19" s="708" t="n">
        <v>8001</v>
      </c>
      <c r="C19" s="709" t="n">
        <v>9000</v>
      </c>
      <c r="D19" s="710">
        <f>IF(0.005*C19&gt;100,100,0.005*C19)</f>
        <v/>
      </c>
      <c r="E19" s="711">
        <f>IF(0.003225*C19&gt;21.5,21.5,0.003225*C19)</f>
        <v/>
      </c>
      <c r="F19" s="726">
        <f>IF(C19*0.0004&gt;25,25,C19*0.0004)</f>
        <v/>
      </c>
      <c r="G19" s="726">
        <f>20%*D19</f>
        <v/>
      </c>
      <c r="H19" s="713">
        <f>(D19-E19-F19-G19)*100/107.5</f>
        <v/>
      </c>
      <c r="I19" s="714">
        <f>7.5%*H19</f>
        <v/>
      </c>
    </row>
    <row r="20">
      <c r="B20" s="708" t="n">
        <v>9001</v>
      </c>
      <c r="C20" s="709" t="n">
        <v>10000</v>
      </c>
      <c r="D20" s="710">
        <f>IF(0.005*C20&gt;100,100,0.005*C20)</f>
        <v/>
      </c>
      <c r="E20" s="711">
        <f>IF(0.003225*C20&gt;21.5,21.5,0.003225*C20)</f>
        <v/>
      </c>
      <c r="F20" s="726">
        <f>IF(C20*0.0004&gt;25,25,C20*0.0004)</f>
        <v/>
      </c>
      <c r="G20" s="726">
        <f>20%*D20</f>
        <v/>
      </c>
      <c r="H20" s="713">
        <f>(D20-E20-F20-G20)*100/107.5</f>
        <v/>
      </c>
      <c r="I20" s="714">
        <f>7.5%*H20</f>
        <v/>
      </c>
    </row>
    <row r="21">
      <c r="B21" s="708" t="n">
        <v>10001</v>
      </c>
      <c r="C21" s="709" t="n">
        <v>11000</v>
      </c>
      <c r="D21" s="710">
        <f>IF(0.005*C21&gt;100,100,0.005*C21)</f>
        <v/>
      </c>
      <c r="E21" s="711">
        <f>IF(0.003225*C21&gt;21.5,21.5,0.003225*C21)</f>
        <v/>
      </c>
      <c r="F21" s="726">
        <f>IF(C21*0.0004&gt;25,25,C21*0.0004)</f>
        <v/>
      </c>
      <c r="G21" s="726">
        <f>20%*D21</f>
        <v/>
      </c>
      <c r="H21" s="713">
        <f>(D21-E21-F21-G21)*100/107.5</f>
        <v/>
      </c>
      <c r="I21" s="714">
        <f>7.5%*H21</f>
        <v/>
      </c>
    </row>
    <row r="22">
      <c r="B22" s="708" t="n">
        <v>11001</v>
      </c>
      <c r="C22" s="709" t="n">
        <v>12000</v>
      </c>
      <c r="D22" s="710">
        <f>IF(0.005*C22&gt;100,100,0.005*C22)</f>
        <v/>
      </c>
      <c r="E22" s="711">
        <f>IF(0.003225*C22&gt;21.5,21.5,0.003225*C22)</f>
        <v/>
      </c>
      <c r="F22" s="726">
        <f>IF(C22*0.0004&gt;25,25,C22*0.0004)</f>
        <v/>
      </c>
      <c r="G22" s="726">
        <f>20%*D22</f>
        <v/>
      </c>
      <c r="H22" s="713">
        <f>(D22-E22-F22-G22)*100/107.5</f>
        <v/>
      </c>
      <c r="I22" s="714">
        <f>7.5%*H22</f>
        <v/>
      </c>
    </row>
    <row r="23">
      <c r="B23" s="708" t="n">
        <v>12001</v>
      </c>
      <c r="C23" s="709" t="n">
        <v>13000</v>
      </c>
      <c r="D23" s="710">
        <f>IF(0.005*C23&gt;100,100,0.005*C23)</f>
        <v/>
      </c>
      <c r="E23" s="711">
        <f>IF(0.003225*C23&gt;21.5,21.5,0.003225*C23)</f>
        <v/>
      </c>
      <c r="F23" s="726">
        <f>IF(C23*0.0004&gt;25,25,C23*0.0004)</f>
        <v/>
      </c>
      <c r="G23" s="726">
        <f>20%*D23</f>
        <v/>
      </c>
      <c r="H23" s="713">
        <f>(D23-E23-F23-G23)*100/107.5</f>
        <v/>
      </c>
      <c r="I23" s="714">
        <f>7.5%*H23</f>
        <v/>
      </c>
    </row>
    <row r="24">
      <c r="B24" s="708" t="n">
        <v>13001</v>
      </c>
      <c r="C24" s="709" t="n">
        <v>14000</v>
      </c>
      <c r="D24" s="710">
        <f>IF(0.005*C24&gt;100,100,0.005*C24)</f>
        <v/>
      </c>
      <c r="E24" s="711">
        <f>IF(0.003225*C24&gt;21.5,21.5,0.003225*C24)</f>
        <v/>
      </c>
      <c r="F24" s="726">
        <f>IF(C24*0.0004&gt;25,25,C24*0.0004)</f>
        <v/>
      </c>
      <c r="G24" s="726">
        <f>20%*D24</f>
        <v/>
      </c>
      <c r="H24" s="713">
        <f>(D24-E24-F24-G24)*100/107.5</f>
        <v/>
      </c>
      <c r="I24" s="714">
        <f>7.5%*H24</f>
        <v/>
      </c>
    </row>
    <row r="25">
      <c r="B25" s="708" t="n">
        <v>14001</v>
      </c>
      <c r="C25" s="709" t="n">
        <v>15000</v>
      </c>
      <c r="D25" s="710">
        <f>IF(0.005*C25&gt;100,100,0.005*C25)</f>
        <v/>
      </c>
      <c r="E25" s="711">
        <f>IF(0.003225*C25&gt;21.5,21.5,0.003225*C25)</f>
        <v/>
      </c>
      <c r="F25" s="726">
        <f>IF(C25*0.0004&gt;25,25,C25*0.0004)</f>
        <v/>
      </c>
      <c r="G25" s="726">
        <f>20%*D25</f>
        <v/>
      </c>
      <c r="H25" s="713">
        <f>(D25-E25-F25-G25)*100/107.5</f>
        <v/>
      </c>
      <c r="I25" s="714">
        <f>7.5%*H25</f>
        <v/>
      </c>
    </row>
    <row r="26">
      <c r="B26" s="708" t="n">
        <v>15001</v>
      </c>
      <c r="C26" s="709" t="n">
        <v>16000</v>
      </c>
      <c r="D26" s="710">
        <f>IF(0.005*C26&gt;100,100,0.005*C26)</f>
        <v/>
      </c>
      <c r="E26" s="711">
        <f>IF(0.003225*C26&gt;21.5,21.5,0.003225*C26)</f>
        <v/>
      </c>
      <c r="F26" s="726">
        <f>IF(C26*0.0004&gt;25,25,C26*0.0004)</f>
        <v/>
      </c>
      <c r="G26" s="726">
        <f>20%*D26</f>
        <v/>
      </c>
      <c r="H26" s="713">
        <f>(D26-E26-F26-G26)*100/107.5</f>
        <v/>
      </c>
      <c r="I26" s="714">
        <f>7.5%*H26</f>
        <v/>
      </c>
    </row>
    <row r="27">
      <c r="B27" s="708" t="n">
        <v>16001</v>
      </c>
      <c r="C27" s="709" t="n">
        <v>17000</v>
      </c>
      <c r="D27" s="710">
        <f>IF(0.005*C27&gt;100,100,0.005*C27)</f>
        <v/>
      </c>
      <c r="E27" s="711">
        <f>IF(0.003225*C27&gt;21.5,21.5,0.003225*C27)</f>
        <v/>
      </c>
      <c r="F27" s="726">
        <f>IF(C27*0.0004&gt;25,25,C27*0.0004)</f>
        <v/>
      </c>
      <c r="G27" s="726">
        <f>20%*D27</f>
        <v/>
      </c>
      <c r="H27" s="713">
        <f>(D27-E27-F27-G27)*100/107.5</f>
        <v/>
      </c>
      <c r="I27" s="714">
        <f>7.5%*H27</f>
        <v/>
      </c>
    </row>
    <row r="28">
      <c r="B28" s="708" t="n">
        <v>17001</v>
      </c>
      <c r="C28" s="709" t="n">
        <v>18000</v>
      </c>
      <c r="D28" s="710">
        <f>IF(0.005*C28&gt;100,100,0.005*C28)</f>
        <v/>
      </c>
      <c r="E28" s="711">
        <f>IF(0.003225*C28&gt;21.5,21.5,0.003225*C28)</f>
        <v/>
      </c>
      <c r="F28" s="726">
        <f>IF(C28*0.0004&gt;25,25,C28*0.0004)</f>
        <v/>
      </c>
      <c r="G28" s="726">
        <f>20%*D28</f>
        <v/>
      </c>
      <c r="H28" s="713">
        <f>(D28-E28-F28-G28)*100/107.5</f>
        <v/>
      </c>
      <c r="I28" s="714">
        <f>7.5%*H28</f>
        <v/>
      </c>
    </row>
    <row r="29">
      <c r="B29" s="708" t="n">
        <v>18001</v>
      </c>
      <c r="C29" s="709" t="n">
        <v>19000</v>
      </c>
      <c r="D29" s="710">
        <f>IF(0.005*C29&gt;100,100,0.005*C29)</f>
        <v/>
      </c>
      <c r="E29" s="711">
        <f>IF(0.003225*C29&gt;21.5,21.5,0.003225*C29)</f>
        <v/>
      </c>
      <c r="F29" s="726">
        <f>IF(C29*0.0004&gt;25,25,C29*0.0004)</f>
        <v/>
      </c>
      <c r="G29" s="726">
        <f>20%*D29</f>
        <v/>
      </c>
      <c r="H29" s="713">
        <f>(D29-E29-F29-G29)*100/107.5</f>
        <v/>
      </c>
      <c r="I29" s="714">
        <f>7.5%*H29</f>
        <v/>
      </c>
    </row>
    <row r="30">
      <c r="B30" s="708" t="n">
        <v>19001</v>
      </c>
      <c r="C30" s="709" t="n">
        <v>20000</v>
      </c>
      <c r="D30" s="710">
        <f>IF(0.005*C30&gt;100,100,0.005*C30)</f>
        <v/>
      </c>
      <c r="E30" s="711">
        <f>IF(0.003225*C30&gt;21.5,21.5,0.003225*C30)</f>
        <v/>
      </c>
      <c r="F30" s="726">
        <f>IF(C30*0.0004&gt;25,25,C30*0.0004)</f>
        <v/>
      </c>
      <c r="G30" s="726">
        <f>20%*D30</f>
        <v/>
      </c>
      <c r="H30" s="713">
        <f>(D30-E30-F30-G30)*100/107.5</f>
        <v/>
      </c>
      <c r="I30" s="714">
        <f>7.5%*H30</f>
        <v/>
      </c>
    </row>
    <row r="31">
      <c r="B31" s="708" t="n">
        <v>20001</v>
      </c>
      <c r="C31" s="709" t="n">
        <v>30000</v>
      </c>
      <c r="D31" s="710">
        <f>IF(0.005*C31&gt;100,100,0.005*C31)</f>
        <v/>
      </c>
      <c r="E31" s="711">
        <f>IF(0.003225*C31&gt;21.5,21.5,0.003225*C31)</f>
        <v/>
      </c>
      <c r="F31" s="726">
        <f>IF(C31*0.0004&gt;25,25,C31*0.0004)</f>
        <v/>
      </c>
      <c r="G31" s="726">
        <f>20%*D31</f>
        <v/>
      </c>
      <c r="H31" s="713">
        <f>(D31-E31-F31-G31)*100/107.5</f>
        <v/>
      </c>
      <c r="I31" s="714">
        <f>7.5%*H31</f>
        <v/>
      </c>
    </row>
    <row r="32">
      <c r="B32" s="708" t="n">
        <v>30001</v>
      </c>
      <c r="C32" s="709" t="n">
        <v>40000</v>
      </c>
      <c r="D32" s="710">
        <f>IF(0.005*C32&gt;100,100,0.005*C32)</f>
        <v/>
      </c>
      <c r="E32" s="711">
        <f>IF(0.003225*C32&gt;21.5,21.5,0.003225*C32)</f>
        <v/>
      </c>
      <c r="F32" s="726">
        <f>IF(C32*0.0004&gt;25,25,C32*0.0004)</f>
        <v/>
      </c>
      <c r="G32" s="726">
        <f>20%*D32</f>
        <v/>
      </c>
      <c r="H32" s="713">
        <f>(D32-E32-F32-G32)*100/107.5</f>
        <v/>
      </c>
      <c r="I32" s="714">
        <f>7.5%*H32</f>
        <v/>
      </c>
    </row>
    <row r="33">
      <c r="B33" s="708" t="n">
        <v>40001</v>
      </c>
      <c r="C33" s="709" t="n">
        <v>50000</v>
      </c>
      <c r="D33" s="710">
        <f>IF(0.005*C33&gt;100,100,0.005*C33)</f>
        <v/>
      </c>
      <c r="E33" s="711">
        <f>IF(0.003225*C33&gt;21.5,21.5,0.003225*C33)</f>
        <v/>
      </c>
      <c r="F33" s="726">
        <f>IF(C33*0.0004&gt;25,25,C33*0.0004)</f>
        <v/>
      </c>
      <c r="G33" s="726">
        <f>20%*D33</f>
        <v/>
      </c>
      <c r="H33" s="713">
        <f>(D33-E33-F33-G33)*100/107.5</f>
        <v/>
      </c>
      <c r="I33" s="714">
        <f>7.5%*H33</f>
        <v/>
      </c>
    </row>
    <row r="34">
      <c r="B34" s="708" t="n">
        <v>50001</v>
      </c>
      <c r="C34" s="709" t="n">
        <v>60000</v>
      </c>
      <c r="D34" s="710">
        <f>IF(0.005*C34&gt;100,100,0.005*C34)</f>
        <v/>
      </c>
      <c r="E34" s="711">
        <f>IF(0.003225*C34&gt;21.5,21.5,0.003225*C34)</f>
        <v/>
      </c>
      <c r="F34" s="726">
        <f>IF(C34*0.0004&gt;25,25,C34*0.0004)</f>
        <v/>
      </c>
      <c r="G34" s="726">
        <f>20%*D34</f>
        <v/>
      </c>
      <c r="H34" s="713">
        <f>(D34-E34-F34-G34)*100/107.5</f>
        <v/>
      </c>
      <c r="I34" s="714">
        <f>7.5%*H34</f>
        <v/>
      </c>
    </row>
    <row r="35">
      <c r="B35" s="708" t="n">
        <v>60001</v>
      </c>
      <c r="C35" s="709" t="n">
        <v>70000</v>
      </c>
      <c r="D35" s="710">
        <f>IF(0.005*C35&gt;100,100,0.005*C35)</f>
        <v/>
      </c>
      <c r="E35" s="711">
        <f>IF(0.003225*C35&gt;21.5,21.5,0.003225*C35)</f>
        <v/>
      </c>
      <c r="F35" s="726">
        <f>IF(C35*0.0004&gt;25,25,C35*0.0004)</f>
        <v/>
      </c>
      <c r="G35" s="726">
        <f>20%*D35</f>
        <v/>
      </c>
      <c r="H35" s="713">
        <f>(D35-E35-F35-G35)*100/107.5</f>
        <v/>
      </c>
      <c r="I35" s="714">
        <f>7.5%*H35</f>
        <v/>
      </c>
    </row>
    <row r="36">
      <c r="B36" s="708" t="n">
        <v>70001</v>
      </c>
      <c r="C36" s="709" t="n">
        <v>80000</v>
      </c>
      <c r="D36" s="710">
        <f>IF(0.005*C36&gt;100,100,0.005*C36)</f>
        <v/>
      </c>
      <c r="E36" s="711">
        <f>IF(0.003225*C36&gt;21.5,21.5,0.003225*C36)</f>
        <v/>
      </c>
      <c r="F36" s="726">
        <f>IF(C36*0.0004&gt;25,25,C36*0.0004)</f>
        <v/>
      </c>
      <c r="G36" s="726">
        <f>20%*D36</f>
        <v/>
      </c>
      <c r="H36" s="713">
        <f>(D36-E36-F36-G36)*100/107.5</f>
        <v/>
      </c>
      <c r="I36" s="714">
        <f>7.5%*H36</f>
        <v/>
      </c>
    </row>
    <row r="37">
      <c r="B37" s="708" t="n">
        <v>80001</v>
      </c>
      <c r="C37" s="709" t="n">
        <v>90000</v>
      </c>
      <c r="D37" s="710">
        <f>IF(0.005*C37&gt;100,100,0.005*C37)</f>
        <v/>
      </c>
      <c r="E37" s="711">
        <f>IF(0.003225*C37&gt;21.5,21.5,0.003225*C37)</f>
        <v/>
      </c>
      <c r="F37" s="726">
        <f>IF(C37*0.0004&gt;25,25,C37*0.0004)</f>
        <v/>
      </c>
      <c r="G37" s="726">
        <f>20%*D37</f>
        <v/>
      </c>
      <c r="H37" s="713">
        <f>(D37-E37-F37-G37)*100/107.5</f>
        <v/>
      </c>
      <c r="I37" s="714">
        <f>7.5%*H37</f>
        <v/>
      </c>
    </row>
    <row r="38" ht="14" customHeight="1" s="581" thickBot="1">
      <c r="B38" s="715" t="n">
        <v>90001</v>
      </c>
      <c r="C38" s="716" t="n">
        <v>100000</v>
      </c>
      <c r="D38" s="717">
        <f>IF(0.005*C38&gt;100,100,0.005*C38)</f>
        <v/>
      </c>
      <c r="E38" s="718">
        <f>IF(0.003225*C38&gt;21.5,21.5,0.003225*C38)</f>
        <v/>
      </c>
      <c r="F38" s="727">
        <f>IF(C38*0.0004&gt;25,25,C38*0.0004)</f>
        <v/>
      </c>
      <c r="G38" s="727">
        <f>20%*D38</f>
        <v/>
      </c>
      <c r="H38" s="720">
        <f>(D38-E38-F38-G38)*100/107.5</f>
        <v/>
      </c>
      <c r="I38" s="721">
        <f>7.5%*H38</f>
        <v/>
      </c>
    </row>
    <row r="39" ht="8" customHeight="1" s="581"/>
    <row r="41" hidden="1" ht="14" customHeight="1" s="581" thickBot="1"/>
    <row r="42" hidden="1" ht="14" customHeight="1" s="581" thickBot="1">
      <c r="B42" s="585" t="inlineStr">
        <is>
          <t>CARD WITHDRAWAL CHARGE SPLIT FOR PLATINUM AGENT WITH ZONE AS A PROCESSOR</t>
        </is>
      </c>
      <c r="C42" s="573" t="n"/>
      <c r="D42" s="573" t="n"/>
      <c r="E42" s="573" t="n"/>
      <c r="F42" s="573" t="n"/>
      <c r="G42" s="573" t="n"/>
      <c r="H42" s="573" t="n"/>
      <c r="I42" s="574" t="n"/>
    </row>
    <row r="43" hidden="1" ht="41" customFormat="1" customHeight="1" s="2" thickBot="1">
      <c r="B43" s="149" t="inlineStr">
        <is>
          <t>Lowest Limit</t>
        </is>
      </c>
      <c r="C43" s="95" t="inlineStr">
        <is>
          <t>Highest Limit</t>
        </is>
      </c>
      <c r="D43" s="150" t="inlineStr">
        <is>
          <t>Total Charge 
(VAT Inclusive)</t>
        </is>
      </c>
      <c r="E43" s="150" t="inlineStr">
        <is>
          <t>ZONE</t>
        </is>
      </c>
      <c r="F43" s="212" t="n"/>
      <c r="G43" s="212" t="inlineStr">
        <is>
          <t>Cashback to Platinum Agent*</t>
        </is>
      </c>
      <c r="H43" s="149" t="inlineStr">
        <is>
          <t>9PSB</t>
        </is>
      </c>
      <c r="I43" s="96" t="inlineStr">
        <is>
          <t>7.5% VAT</t>
        </is>
      </c>
      <c r="J43" s="563" t="n"/>
    </row>
    <row r="44" hidden="1" s="581">
      <c r="B44" s="700" t="n">
        <v>100</v>
      </c>
      <c r="C44" s="701" t="n">
        <v>1000</v>
      </c>
      <c r="D44" s="702">
        <f>IF(0.005*C44&gt;100,100,0.005*C44)</f>
        <v/>
      </c>
      <c r="E44" s="722">
        <f>IF(0.0026875*C44&gt;12.9,12.9,0.0026875*C44)</f>
        <v/>
      </c>
      <c r="F44" s="725" t="n"/>
      <c r="G44" s="725">
        <f>20%*D44</f>
        <v/>
      </c>
      <c r="H44" s="705">
        <f>(D44-E44-G44)*100/107.5</f>
        <v/>
      </c>
      <c r="I44" s="706">
        <f>7.5%*H44</f>
        <v/>
      </c>
      <c r="J44" s="661" t="n"/>
    </row>
    <row r="45" hidden="1" s="581">
      <c r="B45" s="708" t="n">
        <v>1001</v>
      </c>
      <c r="C45" s="709" t="n">
        <v>2000</v>
      </c>
      <c r="D45" s="710">
        <f>IF(0.005*C45&gt;100,100,0.005*C45)</f>
        <v/>
      </c>
      <c r="E45" s="723">
        <f>IF(0.0026875*C45&gt;12.9,12.9,0.0026875*C45)</f>
        <v/>
      </c>
      <c r="F45" s="726" t="n"/>
      <c r="G45" s="726">
        <f>20%*D45</f>
        <v/>
      </c>
      <c r="H45" s="713">
        <f>(D45-E45-G45)*100/107.5</f>
        <v/>
      </c>
      <c r="I45" s="714">
        <f>7.5%*H45</f>
        <v/>
      </c>
    </row>
    <row r="46" hidden="1" s="581">
      <c r="B46" s="708" t="n">
        <v>2001</v>
      </c>
      <c r="C46" s="709" t="n">
        <v>3000</v>
      </c>
      <c r="D46" s="710">
        <f>IF(0.005*C46&gt;100,100,0.005*C46)</f>
        <v/>
      </c>
      <c r="E46" s="723">
        <f>IF(0.0026875*C46&gt;12.9,12.9,0.0026875*C46)</f>
        <v/>
      </c>
      <c r="F46" s="726" t="n"/>
      <c r="G46" s="726">
        <f>20%*D46</f>
        <v/>
      </c>
      <c r="H46" s="713">
        <f>(D46-E46-G46)*100/107.5</f>
        <v/>
      </c>
      <c r="I46" s="714">
        <f>7.5%*H46</f>
        <v/>
      </c>
      <c r="J46" s="164" t="n"/>
    </row>
    <row r="47" hidden="1" s="581">
      <c r="B47" s="708" t="n">
        <v>3001</v>
      </c>
      <c r="C47" s="709" t="n">
        <v>4000</v>
      </c>
      <c r="D47" s="710">
        <f>IF(0.005*C47&gt;100,100,0.005*C47)</f>
        <v/>
      </c>
      <c r="E47" s="723">
        <f>IF(0.0026875*C47&gt;12.9,12.9,0.0026875*C47)</f>
        <v/>
      </c>
      <c r="F47" s="726" t="n"/>
      <c r="G47" s="726">
        <f>20%*D47</f>
        <v/>
      </c>
      <c r="H47" s="713">
        <f>(D47-E47-G47)*100/107.5</f>
        <v/>
      </c>
      <c r="I47" s="714">
        <f>7.5%*H47</f>
        <v/>
      </c>
    </row>
    <row r="48" hidden="1" s="581">
      <c r="B48" s="708" t="n">
        <v>4001</v>
      </c>
      <c r="C48" s="709" t="n">
        <v>5000</v>
      </c>
      <c r="D48" s="710">
        <f>IF(0.005*C48&gt;100,100,0.005*C48)</f>
        <v/>
      </c>
      <c r="E48" s="723">
        <f>IF(0.0026875*C48&gt;12.9,12.9,0.0026875*C48)</f>
        <v/>
      </c>
      <c r="F48" s="726" t="n"/>
      <c r="G48" s="726">
        <f>20%*D48</f>
        <v/>
      </c>
      <c r="H48" s="713">
        <f>(D48-E48-G48)*100/107.5</f>
        <v/>
      </c>
      <c r="I48" s="714">
        <f>7.5%*H48</f>
        <v/>
      </c>
    </row>
    <row r="49" hidden="1" s="581">
      <c r="B49" s="708" t="n">
        <v>5001</v>
      </c>
      <c r="C49" s="709" t="n">
        <v>6000</v>
      </c>
      <c r="D49" s="710">
        <f>IF(0.005*C49&gt;100,100,0.005*C49)</f>
        <v/>
      </c>
      <c r="E49" s="723">
        <f>IF(0.0026875*C49&gt;12.9,12.9,0.0026875*C49)</f>
        <v/>
      </c>
      <c r="F49" s="726" t="n"/>
      <c r="G49" s="726">
        <f>20%*D49</f>
        <v/>
      </c>
      <c r="H49" s="713">
        <f>(D49-E49-G49)*100/107.5</f>
        <v/>
      </c>
      <c r="I49" s="714">
        <f>7.5%*H49</f>
        <v/>
      </c>
    </row>
    <row r="50" hidden="1" s="581">
      <c r="B50" s="708" t="n">
        <v>6001</v>
      </c>
      <c r="C50" s="709" t="n">
        <v>7000</v>
      </c>
      <c r="D50" s="710">
        <f>IF(0.005*C50&gt;100,100,0.005*C50)</f>
        <v/>
      </c>
      <c r="E50" s="723">
        <f>IF(0.0026875*C50&gt;12.9,12.9,0.0026875*C50)</f>
        <v/>
      </c>
      <c r="F50" s="726" t="n"/>
      <c r="G50" s="726">
        <f>20%*D50</f>
        <v/>
      </c>
      <c r="H50" s="713">
        <f>(D50-E50-G50)*100/107.5</f>
        <v/>
      </c>
      <c r="I50" s="714">
        <f>7.5%*H50</f>
        <v/>
      </c>
    </row>
    <row r="51" hidden="1" s="581">
      <c r="B51" s="708" t="n">
        <v>7001</v>
      </c>
      <c r="C51" s="709" t="n">
        <v>8000</v>
      </c>
      <c r="D51" s="710">
        <f>IF(0.005*C51&gt;100,100,0.005*C51)</f>
        <v/>
      </c>
      <c r="E51" s="723">
        <f>IF(0.0026875*C51&gt;12.9,12.9,0.0026875*C51)</f>
        <v/>
      </c>
      <c r="F51" s="726" t="n"/>
      <c r="G51" s="726">
        <f>20%*D51</f>
        <v/>
      </c>
      <c r="H51" s="713">
        <f>(D51-E51-G51)*100/107.5</f>
        <v/>
      </c>
      <c r="I51" s="714">
        <f>7.5%*H51</f>
        <v/>
      </c>
    </row>
    <row r="52" hidden="1" s="581">
      <c r="B52" s="708" t="n">
        <v>8001</v>
      </c>
      <c r="C52" s="709" t="n">
        <v>9000</v>
      </c>
      <c r="D52" s="710">
        <f>IF(0.005*C52&gt;100,100,0.005*C52)</f>
        <v/>
      </c>
      <c r="E52" s="723">
        <f>IF(0.0026875*C52&gt;12.9,12.9,0.0026875*C52)</f>
        <v/>
      </c>
      <c r="F52" s="726" t="n"/>
      <c r="G52" s="726">
        <f>20%*D52</f>
        <v/>
      </c>
      <c r="H52" s="713">
        <f>(D52-E52-G52)*100/107.5</f>
        <v/>
      </c>
      <c r="I52" s="714">
        <f>7.5%*H52</f>
        <v/>
      </c>
    </row>
    <row r="53" hidden="1" s="581">
      <c r="B53" s="708" t="n">
        <v>9001</v>
      </c>
      <c r="C53" s="709" t="n">
        <v>10000</v>
      </c>
      <c r="D53" s="710">
        <f>IF(0.005*C53&gt;100,100,0.005*C53)</f>
        <v/>
      </c>
      <c r="E53" s="723">
        <f>IF(0.0026875*C53&gt;12.9,12.9,0.0026875*C53)</f>
        <v/>
      </c>
      <c r="F53" s="726" t="n"/>
      <c r="G53" s="726">
        <f>20%*D53</f>
        <v/>
      </c>
      <c r="H53" s="713">
        <f>(D53-E53-G53)*100/107.5</f>
        <v/>
      </c>
      <c r="I53" s="714">
        <f>7.5%*H53</f>
        <v/>
      </c>
    </row>
    <row r="54" hidden="1" s="581">
      <c r="B54" s="708" t="n">
        <v>10001</v>
      </c>
      <c r="C54" s="709" t="n">
        <v>11000</v>
      </c>
      <c r="D54" s="710">
        <f>IF(0.005*C54&gt;100,100,0.005*C54)</f>
        <v/>
      </c>
      <c r="E54" s="723">
        <f>IF(0.0026875*C54&gt;12.9,12.9,0.0026875*C54)</f>
        <v/>
      </c>
      <c r="F54" s="726" t="n"/>
      <c r="G54" s="726">
        <f>20%*D54</f>
        <v/>
      </c>
      <c r="H54" s="713">
        <f>(D54-E54-G54)*100/107.5</f>
        <v/>
      </c>
      <c r="I54" s="714">
        <f>7.5%*H54</f>
        <v/>
      </c>
    </row>
    <row r="55" hidden="1" s="581">
      <c r="B55" s="708" t="n">
        <v>11001</v>
      </c>
      <c r="C55" s="709" t="n">
        <v>12000</v>
      </c>
      <c r="D55" s="710">
        <f>IF(0.005*C55&gt;100,100,0.005*C55)</f>
        <v/>
      </c>
      <c r="E55" s="723">
        <f>IF(0.0026875*C55&gt;12.9,12.9,0.0026875*C55)</f>
        <v/>
      </c>
      <c r="F55" s="726" t="n"/>
      <c r="G55" s="726">
        <f>20%*D55</f>
        <v/>
      </c>
      <c r="H55" s="713">
        <f>(D55-E55-G55)*100/107.5</f>
        <v/>
      </c>
      <c r="I55" s="714">
        <f>7.5%*H55</f>
        <v/>
      </c>
    </row>
    <row r="56" hidden="1" s="581">
      <c r="B56" s="708" t="n">
        <v>12001</v>
      </c>
      <c r="C56" s="709" t="n">
        <v>13000</v>
      </c>
      <c r="D56" s="710">
        <f>IF(0.005*C56&gt;100,100,0.005*C56)</f>
        <v/>
      </c>
      <c r="E56" s="723">
        <f>IF(0.0026875*C56&gt;12.9,12.9,0.0026875*C56)</f>
        <v/>
      </c>
      <c r="F56" s="726" t="n"/>
      <c r="G56" s="726">
        <f>20%*D56</f>
        <v/>
      </c>
      <c r="H56" s="713">
        <f>(D56-E56-G56)*100/107.5</f>
        <v/>
      </c>
      <c r="I56" s="714">
        <f>7.5%*H56</f>
        <v/>
      </c>
    </row>
    <row r="57" hidden="1" s="581">
      <c r="B57" s="708" t="n">
        <v>13001</v>
      </c>
      <c r="C57" s="709" t="n">
        <v>14000</v>
      </c>
      <c r="D57" s="710">
        <f>IF(0.005*C57&gt;100,100,0.005*C57)</f>
        <v/>
      </c>
      <c r="E57" s="723">
        <f>IF(0.0026875*C57&gt;12.9,12.9,0.0026875*C57)</f>
        <v/>
      </c>
      <c r="F57" s="726" t="n"/>
      <c r="G57" s="726">
        <f>20%*D57</f>
        <v/>
      </c>
      <c r="H57" s="713">
        <f>(D57-E57-G57)*100/107.5</f>
        <v/>
      </c>
      <c r="I57" s="714">
        <f>7.5%*H57</f>
        <v/>
      </c>
    </row>
    <row r="58" hidden="1" s="581">
      <c r="B58" s="708" t="n">
        <v>14001</v>
      </c>
      <c r="C58" s="709" t="n">
        <v>15000</v>
      </c>
      <c r="D58" s="710">
        <f>IF(0.005*C58&gt;100,100,0.005*C58)</f>
        <v/>
      </c>
      <c r="E58" s="723">
        <f>IF(0.0026875*C58&gt;12.9,12.9,0.0026875*C58)</f>
        <v/>
      </c>
      <c r="F58" s="726" t="n"/>
      <c r="G58" s="726">
        <f>20%*D58</f>
        <v/>
      </c>
      <c r="H58" s="713">
        <f>(D58-E58-G58)*100/107.5</f>
        <v/>
      </c>
      <c r="I58" s="714">
        <f>7.5%*H58</f>
        <v/>
      </c>
    </row>
    <row r="59" hidden="1" s="581">
      <c r="B59" s="708" t="n">
        <v>15001</v>
      </c>
      <c r="C59" s="709" t="n">
        <v>16000</v>
      </c>
      <c r="D59" s="710">
        <f>IF(0.005*C59&gt;100,100,0.005*C59)</f>
        <v/>
      </c>
      <c r="E59" s="723">
        <f>IF(0.0026875*C59&gt;12.9,12.9,0.0026875*C59)</f>
        <v/>
      </c>
      <c r="F59" s="726" t="n"/>
      <c r="G59" s="726">
        <f>20%*D59</f>
        <v/>
      </c>
      <c r="H59" s="713">
        <f>(D59-E59-G59)*100/107.5</f>
        <v/>
      </c>
      <c r="I59" s="714">
        <f>7.5%*H59</f>
        <v/>
      </c>
    </row>
    <row r="60" hidden="1" s="581">
      <c r="B60" s="708" t="n">
        <v>16001</v>
      </c>
      <c r="C60" s="709" t="n">
        <v>17000</v>
      </c>
      <c r="D60" s="710">
        <f>IF(0.005*C60&gt;100,100,0.005*C60)</f>
        <v/>
      </c>
      <c r="E60" s="723">
        <f>IF(0.0026875*C60&gt;12.9,12.9,0.0026875*C60)</f>
        <v/>
      </c>
      <c r="F60" s="726" t="n"/>
      <c r="G60" s="726">
        <f>20%*D60</f>
        <v/>
      </c>
      <c r="H60" s="713">
        <f>(D60-E60-G60)*100/107.5</f>
        <v/>
      </c>
      <c r="I60" s="714">
        <f>7.5%*H60</f>
        <v/>
      </c>
    </row>
    <row r="61" hidden="1" s="581">
      <c r="B61" s="708" t="n">
        <v>17001</v>
      </c>
      <c r="C61" s="709" t="n">
        <v>18000</v>
      </c>
      <c r="D61" s="710">
        <f>IF(0.005*C61&gt;100,100,0.005*C61)</f>
        <v/>
      </c>
      <c r="E61" s="723">
        <f>IF(0.0026875*C61&gt;12.9,12.9,0.0026875*C61)</f>
        <v/>
      </c>
      <c r="F61" s="726" t="n"/>
      <c r="G61" s="726">
        <f>20%*D61</f>
        <v/>
      </c>
      <c r="H61" s="713">
        <f>(D61-E61-G61)*100/107.5</f>
        <v/>
      </c>
      <c r="I61" s="714">
        <f>7.5%*H61</f>
        <v/>
      </c>
    </row>
    <row r="62" hidden="1" s="581">
      <c r="B62" s="708" t="n">
        <v>18001</v>
      </c>
      <c r="C62" s="709" t="n">
        <v>19000</v>
      </c>
      <c r="D62" s="710">
        <f>IF(0.005*C62&gt;100,100,0.005*C62)</f>
        <v/>
      </c>
      <c r="E62" s="723">
        <f>IF(0.0026875*C62&gt;12.9,12.9,0.0026875*C62)</f>
        <v/>
      </c>
      <c r="F62" s="726" t="n"/>
      <c r="G62" s="726">
        <f>20%*D62</f>
        <v/>
      </c>
      <c r="H62" s="713">
        <f>(D62-E62-G62)*100/107.5</f>
        <v/>
      </c>
      <c r="I62" s="714">
        <f>7.5%*H62</f>
        <v/>
      </c>
    </row>
    <row r="63" hidden="1" s="581">
      <c r="B63" s="708" t="n">
        <v>19001</v>
      </c>
      <c r="C63" s="709" t="n">
        <v>20000</v>
      </c>
      <c r="D63" s="710">
        <f>IF(0.005*C63&gt;100,100,0.005*C63)</f>
        <v/>
      </c>
      <c r="E63" s="723">
        <f>IF(0.0026875*C63&gt;12.9,12.9,0.0026875*C63)</f>
        <v/>
      </c>
      <c r="F63" s="726" t="n"/>
      <c r="G63" s="726">
        <f>20%*D63</f>
        <v/>
      </c>
      <c r="H63" s="713">
        <f>(D63-E63-G63)*100/107.5</f>
        <v/>
      </c>
      <c r="I63" s="714">
        <f>7.5%*H63</f>
        <v/>
      </c>
    </row>
    <row r="64" hidden="1" s="581">
      <c r="B64" s="708" t="n">
        <v>20001</v>
      </c>
      <c r="C64" s="709" t="n">
        <v>30000</v>
      </c>
      <c r="D64" s="710">
        <f>IF(0.005*C64&gt;100,100,0.005*C64)</f>
        <v/>
      </c>
      <c r="E64" s="723">
        <f>IF(0.0026875*C64&gt;12.9,12.9,0.0026875*C64)</f>
        <v/>
      </c>
      <c r="F64" s="726" t="n"/>
      <c r="G64" s="726">
        <f>20%*D64</f>
        <v/>
      </c>
      <c r="H64" s="713">
        <f>(D64-E64-G64)*100/107.5</f>
        <v/>
      </c>
      <c r="I64" s="714">
        <f>7.5%*H64</f>
        <v/>
      </c>
    </row>
    <row r="65" hidden="1" s="581">
      <c r="B65" s="708" t="n">
        <v>30001</v>
      </c>
      <c r="C65" s="709" t="n">
        <v>40000</v>
      </c>
      <c r="D65" s="710">
        <f>IF(0.005*C65&gt;100,100,0.005*C65)</f>
        <v/>
      </c>
      <c r="E65" s="723">
        <f>IF(0.0026875*C65&gt;12.9,12.9,0.0026875*C65)</f>
        <v/>
      </c>
      <c r="F65" s="726" t="n"/>
      <c r="G65" s="726">
        <f>20%*D65</f>
        <v/>
      </c>
      <c r="H65" s="713">
        <f>(D65-E65-G65)*100/107.5</f>
        <v/>
      </c>
      <c r="I65" s="714">
        <f>7.5%*H65</f>
        <v/>
      </c>
    </row>
    <row r="66" hidden="1" s="581">
      <c r="B66" s="708" t="n">
        <v>40001</v>
      </c>
      <c r="C66" s="709" t="n">
        <v>50000</v>
      </c>
      <c r="D66" s="710">
        <f>IF(0.005*C66&gt;100,100,0.005*C66)</f>
        <v/>
      </c>
      <c r="E66" s="723">
        <f>IF(0.0026875*C66&gt;12.9,12.9,0.0026875*C66)</f>
        <v/>
      </c>
      <c r="F66" s="726" t="n"/>
      <c r="G66" s="726">
        <f>20%*D66</f>
        <v/>
      </c>
      <c r="H66" s="713">
        <f>(D66-E66-G66)*100/107.5</f>
        <v/>
      </c>
      <c r="I66" s="714">
        <f>7.5%*H66</f>
        <v/>
      </c>
    </row>
    <row r="67" hidden="1" s="581">
      <c r="B67" s="708" t="n">
        <v>50001</v>
      </c>
      <c r="C67" s="709" t="n">
        <v>60000</v>
      </c>
      <c r="D67" s="710">
        <f>IF(0.005*C67&gt;100,100,0.005*C67)</f>
        <v/>
      </c>
      <c r="E67" s="723">
        <f>IF(0.0026875*C67&gt;12.9,12.9,0.0026875*C67)</f>
        <v/>
      </c>
      <c r="F67" s="726" t="n"/>
      <c r="G67" s="726">
        <f>20%*D67</f>
        <v/>
      </c>
      <c r="H67" s="713">
        <f>(D67-E67-G67)*100/107.5</f>
        <v/>
      </c>
      <c r="I67" s="714">
        <f>7.5%*H67</f>
        <v/>
      </c>
    </row>
    <row r="68" hidden="1" s="581">
      <c r="B68" s="708" t="n">
        <v>60001</v>
      </c>
      <c r="C68" s="709" t="n">
        <v>70000</v>
      </c>
      <c r="D68" s="710">
        <f>IF(0.005*C68&gt;100,100,0.005*C68)</f>
        <v/>
      </c>
      <c r="E68" s="723">
        <f>IF(0.0026875*C68&gt;12.9,12.9,0.0026875*C68)</f>
        <v/>
      </c>
      <c r="F68" s="726" t="n"/>
      <c r="G68" s="726">
        <f>20%*D68</f>
        <v/>
      </c>
      <c r="H68" s="713">
        <f>(D68-E68-G68)*100/107.5</f>
        <v/>
      </c>
      <c r="I68" s="714">
        <f>7.5%*H68</f>
        <v/>
      </c>
    </row>
    <row r="69" hidden="1" s="581">
      <c r="B69" s="708" t="n">
        <v>70001</v>
      </c>
      <c r="C69" s="709" t="n">
        <v>80000</v>
      </c>
      <c r="D69" s="710">
        <f>IF(0.005*C69&gt;100,100,0.005*C69)</f>
        <v/>
      </c>
      <c r="E69" s="723">
        <f>IF(0.0026875*C69&gt;12.9,12.9,0.0026875*C69)</f>
        <v/>
      </c>
      <c r="F69" s="726" t="n"/>
      <c r="G69" s="726">
        <f>20%*D69</f>
        <v/>
      </c>
      <c r="H69" s="713">
        <f>(D69-E69-G69)*100/107.5</f>
        <v/>
      </c>
      <c r="I69" s="714">
        <f>7.5%*H69</f>
        <v/>
      </c>
    </row>
    <row r="70" hidden="1" s="581">
      <c r="B70" s="708" t="n">
        <v>80001</v>
      </c>
      <c r="C70" s="709" t="n">
        <v>90000</v>
      </c>
      <c r="D70" s="710">
        <f>IF(0.005*C70&gt;100,100,0.005*C70)</f>
        <v/>
      </c>
      <c r="E70" s="723">
        <f>IF(0.0026875*C70&gt;12.9,12.9,0.0026875*C70)</f>
        <v/>
      </c>
      <c r="F70" s="726" t="n"/>
      <c r="G70" s="726">
        <f>20%*D70</f>
        <v/>
      </c>
      <c r="H70" s="713">
        <f>(D70-E70-G70)*100/107.5</f>
        <v/>
      </c>
      <c r="I70" s="714">
        <f>7.5%*H70</f>
        <v/>
      </c>
    </row>
    <row r="71" hidden="1" ht="14" customHeight="1" s="581" thickBot="1">
      <c r="B71" s="715" t="n">
        <v>90001</v>
      </c>
      <c r="C71" s="716" t="n">
        <v>100000</v>
      </c>
      <c r="D71" s="717">
        <f>IF(0.005*C71&gt;100,100,0.005*C71)</f>
        <v/>
      </c>
      <c r="E71" s="724">
        <f>IF(0.0026875*C71&gt;12.9,12.9,0.0026875*C71)</f>
        <v/>
      </c>
      <c r="F71" s="727" t="n"/>
      <c r="G71" s="727">
        <f>20%*D71</f>
        <v/>
      </c>
      <c r="H71" s="720">
        <f>(D71-E71-G71)*100/107.5</f>
        <v/>
      </c>
      <c r="I71" s="721">
        <f>7.5%*H71</f>
        <v/>
      </c>
    </row>
    <row r="72" hidden="1" s="581"/>
    <row r="73" hidden="1" s="581"/>
    <row r="74" hidden="1" s="581"/>
  </sheetData>
  <mergeCells count="7">
    <mergeCell ref="B9:I9"/>
    <mergeCell ref="B6:L6"/>
    <mergeCell ref="B42:I42"/>
    <mergeCell ref="B3:I3"/>
    <mergeCell ref="B5:I5"/>
    <mergeCell ref="B4:M4"/>
    <mergeCell ref="B2:N2"/>
  </mergeCells>
  <pageMargins left="0.7" right="0.7" top="0.75" bottom="0.75" header="0.3" footer="0.3"/>
  <pageSetup orientation="portrait" paperSize="9" scale="76"/>
</worksheet>
</file>

<file path=xl/worksheets/sheet10.xml><?xml version="1.0" encoding="utf-8"?>
<worksheet xmlns="http://schemas.openxmlformats.org/spreadsheetml/2006/main">
  <sheetPr>
    <tabColor theme="5"/>
    <outlinePr summaryBelow="1" summaryRight="1"/>
    <pageSetUpPr fitToPage="1"/>
  </sheetPr>
  <dimension ref="A1:K44"/>
  <sheetViews>
    <sheetView topLeftCell="A7" zoomScale="72" zoomScaleNormal="72" workbookViewId="0">
      <selection activeCell="E26" sqref="E26"/>
    </sheetView>
  </sheetViews>
  <sheetFormatPr baseColWidth="8" defaultColWidth="12.1796875" defaultRowHeight="13.5"/>
  <cols>
    <col width="2.90625" customWidth="1" style="563" min="1" max="1"/>
    <col width="11.453125" customWidth="1" style="563" min="2" max="2"/>
    <col width="22.36328125" customWidth="1" style="563" min="3" max="3"/>
    <col width="34.453125" customWidth="1" style="563" min="4" max="4"/>
    <col width="37" customWidth="1" style="563" min="5" max="5"/>
    <col width="88" customWidth="1" style="563" min="6" max="6"/>
    <col width="11.6328125" bestFit="1" customWidth="1" style="563" min="7" max="7"/>
    <col width="12.1796875" customWidth="1" style="563" min="8" max="8"/>
    <col width="14.36328125" bestFit="1" customWidth="1" style="563" min="9" max="9"/>
    <col width="16.36328125" bestFit="1" customWidth="1" style="563" min="10" max="10"/>
    <col width="12.1796875" customWidth="1" style="563" min="11" max="11"/>
    <col width="12.1796875" customWidth="1" style="563" min="12" max="16384"/>
  </cols>
  <sheetData>
    <row r="1">
      <c r="B1" s="589" t="inlineStr">
        <is>
          <t>TRANSACTION TYPE : CASHOUT WITH DEBIT CARD (ISW as a Processor)</t>
        </is>
      </c>
    </row>
    <row r="2" ht="3.5" customHeight="1" s="581" thickBot="1"/>
    <row r="3" ht="14" customHeight="1" s="581" thickBot="1">
      <c r="B3" s="579" t="inlineStr">
        <is>
          <t>At the customer's (issuer's) Bank</t>
        </is>
      </c>
      <c r="C3" s="573" t="n"/>
      <c r="D3" s="573" t="n"/>
      <c r="E3" s="573" t="n"/>
      <c r="F3" s="574" t="n"/>
    </row>
    <row r="4" ht="14" customFormat="1" customHeight="1" s="2" thickBot="1">
      <c r="B4" s="94" t="inlineStr">
        <is>
          <t>Type</t>
        </is>
      </c>
      <c r="C4" s="95" t="inlineStr">
        <is>
          <t>Account Number</t>
        </is>
      </c>
      <c r="D4" s="95" t="inlineStr">
        <is>
          <t>Name</t>
        </is>
      </c>
      <c r="E4" s="95" t="inlineStr">
        <is>
          <t>Amount</t>
        </is>
      </c>
      <c r="F4" s="96" t="inlineStr">
        <is>
          <t>Value</t>
        </is>
      </c>
    </row>
    <row r="5">
      <c r="B5" s="91" t="inlineStr">
        <is>
          <t>DR</t>
        </is>
      </c>
      <c r="C5" s="92" t="inlineStr">
        <is>
          <t>XXXXXXXXXXX</t>
        </is>
      </c>
      <c r="D5" s="92" t="inlineStr">
        <is>
          <t>Customer's Name</t>
        </is>
      </c>
      <c r="E5" s="92" t="inlineStr">
        <is>
          <t>Tranx Amt</t>
        </is>
      </c>
      <c r="F5" s="93" t="inlineStr">
        <is>
          <t>Nxxx</t>
        </is>
      </c>
    </row>
    <row r="6" ht="14" customHeight="1" s="581" thickBot="1">
      <c r="B6" s="87" t="inlineStr">
        <is>
          <t>CR</t>
        </is>
      </c>
      <c r="C6" s="89" t="inlineStr">
        <is>
          <t>CCCCCCCCCCC</t>
        </is>
      </c>
      <c r="D6" s="89" t="inlineStr">
        <is>
          <t>Card Transaction Payable Account</t>
        </is>
      </c>
      <c r="E6" s="89" t="inlineStr">
        <is>
          <t>Tranx Amt</t>
        </is>
      </c>
      <c r="F6" s="90" t="inlineStr">
        <is>
          <t>Nxxx</t>
        </is>
      </c>
    </row>
    <row r="7" ht="14" customHeight="1" s="581" thickBot="1">
      <c r="B7" s="2" t="n"/>
    </row>
    <row r="8" ht="14.5" customHeight="1" s="581" thickBot="1">
      <c r="B8" s="579" t="inlineStr">
        <is>
          <t>On the Elkanah Agent Banking System : At Transaction Time : Instant Settlement</t>
        </is>
      </c>
      <c r="C8" s="573" t="n"/>
      <c r="D8" s="573" t="n"/>
      <c r="E8" s="573" t="n"/>
      <c r="F8" s="574" t="n"/>
      <c r="G8" s="2" t="inlineStr">
        <is>
          <t>Tranx Amt</t>
        </is>
      </c>
      <c r="H8" s="659" t="n">
        <v>1000</v>
      </c>
    </row>
    <row r="9" ht="14" customFormat="1" customHeight="1" s="2" thickBot="1">
      <c r="B9" s="94" t="inlineStr">
        <is>
          <t>Type</t>
        </is>
      </c>
      <c r="C9" s="95" t="inlineStr">
        <is>
          <t>Account Number</t>
        </is>
      </c>
      <c r="D9" s="95" t="inlineStr">
        <is>
          <t>Name</t>
        </is>
      </c>
      <c r="E9" s="95" t="inlineStr">
        <is>
          <t>Amount</t>
        </is>
      </c>
      <c r="F9" s="96" t="inlineStr">
        <is>
          <t>Value</t>
        </is>
      </c>
      <c r="H9" s="2" t="inlineStr">
        <is>
          <t>Test Values</t>
        </is>
      </c>
    </row>
    <row r="10">
      <c r="B10" s="98" t="inlineStr">
        <is>
          <t>DR</t>
        </is>
      </c>
      <c r="C10" s="83" t="inlineStr">
        <is>
          <t>EEEEEEEE</t>
        </is>
      </c>
      <c r="D10" s="83" t="inlineStr">
        <is>
          <t>Elkanah's Wallet Suspense Account</t>
        </is>
      </c>
      <c r="E10" s="83" t="inlineStr">
        <is>
          <t>Tranx Amt</t>
        </is>
      </c>
      <c r="F10" s="84" t="inlineStr">
        <is>
          <t>Nxxx</t>
        </is>
      </c>
      <c r="H10" s="368">
        <f>-H8</f>
        <v/>
      </c>
    </row>
    <row r="11">
      <c r="B11" s="85" t="inlineStr">
        <is>
          <t>CR</t>
        </is>
      </c>
      <c r="C11" s="81" t="inlineStr">
        <is>
          <t>AAAAAAAAAA</t>
        </is>
      </c>
      <c r="D11" s="81" t="inlineStr">
        <is>
          <t xml:space="preserve">Agent's Main Wallet </t>
        </is>
      </c>
      <c r="E11" s="81" t="inlineStr">
        <is>
          <t xml:space="preserve">Tranx Amt </t>
        </is>
      </c>
      <c r="F11" s="86" t="inlineStr">
        <is>
          <t xml:space="preserve">Nxxx </t>
        </is>
      </c>
      <c r="H11" s="368">
        <f>H8</f>
        <v/>
      </c>
    </row>
    <row r="12">
      <c r="B12" s="99" t="inlineStr">
        <is>
          <t>DR</t>
        </is>
      </c>
      <c r="C12" s="81" t="inlineStr">
        <is>
          <t>AAAAAAAAAA</t>
        </is>
      </c>
      <c r="D12" s="81" t="inlineStr">
        <is>
          <t xml:space="preserve">Agent's Main Wallet </t>
        </is>
      </c>
      <c r="E12" s="81" t="inlineStr">
        <is>
          <t>Total Charge</t>
        </is>
      </c>
      <c r="F12" s="278" t="inlineStr">
        <is>
          <t>0.005 * Nxxx (capped at N100)   e.g. N1,000 -&gt; N5.00</t>
        </is>
      </c>
      <c r="H12" s="368">
        <f>-IF(0.005*H8&gt;100,100,0.005*H8)</f>
        <v/>
      </c>
      <c r="J12" s="563">
        <f>0.005-0.0004</f>
        <v/>
      </c>
    </row>
    <row r="13">
      <c r="B13" s="85" t="inlineStr">
        <is>
          <t>CR</t>
        </is>
      </c>
      <c r="C13" s="156" t="inlineStr">
        <is>
          <t>SLPSLPSLP</t>
        </is>
      </c>
      <c r="D13" s="92" t="inlineStr">
        <is>
          <t>SLP Commission Wallet</t>
        </is>
      </c>
      <c r="E13" s="92" t="inlineStr">
        <is>
          <t>Comm. Due to SLP (where applicable)</t>
        </is>
      </c>
      <c r="F13" s="86" t="inlineStr">
        <is>
          <t>0.0004 * Nxxx (capped at N25)</t>
        </is>
      </c>
      <c r="H13" s="368">
        <f>IF(0.0004*H8&gt;25,25,0.0004*H8)</f>
        <v/>
      </c>
    </row>
    <row r="14" ht="47.5" customFormat="1" customHeight="1" s="281">
      <c r="B14" s="279" t="inlineStr">
        <is>
          <t>CR</t>
        </is>
      </c>
      <c r="C14" s="282" t="inlineStr">
        <is>
          <t>CCCCCCCCCCC</t>
        </is>
      </c>
      <c r="D14" s="283" t="inlineStr">
        <is>
          <t>Agent Commission Wallet</t>
        </is>
      </c>
      <c r="E14" s="373" t="inlineStr">
        <is>
          <t xml:space="preserve">Cashback on cashout fee </t>
        </is>
      </c>
      <c r="F14" s="280" t="inlineStr">
        <is>
          <t>IF (Silver Agent, cashback = 0)
IF (Gold Agent, cashback = (0.0005 * Nxxx capped at N10.00)
IF (Platinum Agent, cashback = (0.001 * Nxxx capped at N20.00)</t>
        </is>
      </c>
      <c r="H14" s="795" t="n">
        <v>0</v>
      </c>
      <c r="J14" s="728" t="n"/>
    </row>
    <row r="15" ht="41" customHeight="1" s="581" thickBot="1">
      <c r="B15" s="101" t="inlineStr">
        <is>
          <t>CR</t>
        </is>
      </c>
      <c r="C15" s="102" t="inlineStr">
        <is>
          <t>EEEEEEEE</t>
        </is>
      </c>
      <c r="D15" s="102" t="inlineStr">
        <is>
          <t>Elkanah's Wallet Suspense Account</t>
        </is>
      </c>
      <c r="E15" s="102" t="inlineStr">
        <is>
          <t>Part Fees</t>
        </is>
      </c>
      <c r="F15" s="729" t="inlineStr">
        <is>
          <t>Part Fees to Elkanah Suspense = Total Charge - SLP - Cashback (residual) -&gt; settled on Core Banking as ISW + Revenue to 9PSB + VAT.
Silver 0.46% | Gold 0.41% | Platinum 0.36% of Nxxx (up to the N100 total-charge cap).
Maximum Part Fees (at N20,000, where the N100 total cap binds): Silver N92.00 | Gold N82.00 | Platinum N72.00
  = ISW N21.50 + Revenue (Silver 65.58 / Gold 56.28 / Platinum 46.98) + VAT (Silver 4.92 / Gold 4.22 / Platinum 3.52).</t>
        </is>
      </c>
      <c r="H15" s="796">
        <f>-H12-H13-H14</f>
        <v/>
      </c>
      <c r="I15" s="730" t="n"/>
    </row>
    <row r="16">
      <c r="B16" s="163" t="inlineStr">
        <is>
          <t>Note: SLPSLPSLP is a varying SLP commission wallets on Elkanah. This is the wallet of the SLP which the transacting Agent's Main Wallet is mapped to. Where an Agent has no SLP the commission is credited to the Bank</t>
        </is>
      </c>
      <c r="I16" s="731" t="n"/>
    </row>
    <row r="17">
      <c r="B17" s="163" t="n"/>
      <c r="I17" s="731" t="n"/>
    </row>
    <row r="18">
      <c r="B18" s="2" t="n"/>
    </row>
    <row r="19" ht="14" customHeight="1" s="581" thickBot="1">
      <c r="B19" s="587" t="inlineStr">
        <is>
          <t>On the Core Banking System</t>
        </is>
      </c>
      <c r="C19" s="588" t="n"/>
      <c r="D19" s="588" t="n"/>
      <c r="F19" s="658" t="n"/>
      <c r="G19" s="2" t="inlineStr">
        <is>
          <t>Tranx Amt</t>
        </is>
      </c>
      <c r="H19" s="659">
        <f>H8</f>
        <v/>
      </c>
    </row>
    <row r="20" ht="6" customHeight="1" s="581" thickBot="1">
      <c r="B20" s="97" t="n"/>
      <c r="C20" s="97" t="n"/>
      <c r="D20" s="97" t="n"/>
    </row>
    <row r="21" ht="14" customHeight="1" s="581" thickBot="1">
      <c r="B21" s="586" t="inlineStr">
        <is>
          <t>Card Withdrawal (for all amounts) : Total Fees + VAT : (0.005 of tranx amount capped at N100)</t>
        </is>
      </c>
      <c r="C21" s="573" t="n"/>
      <c r="D21" s="573" t="n"/>
      <c r="E21" s="573" t="n"/>
      <c r="F21" s="574" t="n"/>
    </row>
    <row r="22" ht="5.5" customHeight="1" s="581" thickBot="1">
      <c r="B22" s="591" t="n"/>
      <c r="C22" s="573" t="n"/>
      <c r="D22" s="573" t="n"/>
      <c r="E22" s="573" t="n"/>
      <c r="F22" s="574" t="n"/>
    </row>
    <row r="23" ht="14" customFormat="1" customHeight="1" s="2" thickBot="1">
      <c r="B23" s="105" t="inlineStr">
        <is>
          <t>Type</t>
        </is>
      </c>
      <c r="C23" s="106" t="inlineStr">
        <is>
          <t>Account Number</t>
        </is>
      </c>
      <c r="D23" s="106" t="inlineStr">
        <is>
          <t>Name</t>
        </is>
      </c>
      <c r="E23" s="106" t="inlineStr">
        <is>
          <t>Amount</t>
        </is>
      </c>
      <c r="F23" s="107" t="inlineStr">
        <is>
          <t>Value</t>
        </is>
      </c>
      <c r="H23" s="354" t="inlineStr">
        <is>
          <t>Test Values</t>
        </is>
      </c>
    </row>
    <row r="24">
      <c r="B24" s="541" t="inlineStr">
        <is>
          <t>DR</t>
        </is>
      </c>
      <c r="C24" s="542" t="n">
        <v>10120011</v>
      </c>
      <c r="D24" s="543" t="inlineStr">
        <is>
          <t>ISW Card Transaction - Receivable GL</t>
        </is>
      </c>
      <c r="E24" s="543" t="inlineStr">
        <is>
          <t>Tranx Amt less ISW Fees</t>
        </is>
      </c>
      <c r="F24" s="488" t="inlineStr">
        <is>
          <t>Nxxx less [0.003225 * Nxxx (capped at N21.50)]</t>
        </is>
      </c>
      <c r="H24" s="489">
        <f>(H19-IF(0.003225*H19&gt;21.5,21.5,0.003225*H19))</f>
        <v/>
      </c>
    </row>
    <row r="25">
      <c r="B25" s="85" t="inlineStr">
        <is>
          <t>CR</t>
        </is>
      </c>
      <c r="C25" s="82" t="n">
        <v>10120004</v>
      </c>
      <c r="D25" s="81" t="inlineStr">
        <is>
          <t>Float Account - Agent Banking</t>
        </is>
      </c>
      <c r="E25" s="81" t="inlineStr">
        <is>
          <t>Tranx Amt less Total Charges</t>
        </is>
      </c>
      <c r="F25" s="86" t="inlineStr">
        <is>
          <t>Nxxx less [(0.005 * Nxxx capped at N100)]</t>
        </is>
      </c>
      <c r="H25" s="368">
        <f>(H19-IF(0.005*H19&gt;100,100,0.005*H19))</f>
        <v/>
      </c>
      <c r="J25" s="563" t="n">
        <v>0.005</v>
      </c>
      <c r="K25" s="563">
        <f>J25-J26</f>
        <v/>
      </c>
    </row>
    <row r="26" ht="44.5" customFormat="1" customHeight="1" s="281">
      <c r="B26" s="544" t="inlineStr">
        <is>
          <t>CR</t>
        </is>
      </c>
      <c r="C26" s="545" t="n">
        <v>40060024</v>
      </c>
      <c r="D26" s="546" t="inlineStr">
        <is>
          <t>Revenue from Cashout</t>
        </is>
      </c>
      <c r="E26" s="546" t="inlineStr">
        <is>
          <t>Fees due to 9PSB</t>
        </is>
      </c>
      <c r="F26" s="490" t="inlineStr">
        <is>
          <t>IF (Silver Agent = 0.00127907 * Nxxx capped at N65.58), 
IF (Gold Agent = 0.000813953 * Nxxx capped at N56.28), 
IF (Platinum Agent = 0.000348837 * Nxxx capped at N46.98)</t>
        </is>
      </c>
      <c r="H26" s="491">
        <f>IF(0.00127907*H19&gt;65.58,65.58,0.00127907*H19)</f>
        <v/>
      </c>
      <c r="J26" s="281">
        <f>0.001488372+0.0001116279</f>
        <v/>
      </c>
    </row>
    <row r="27" ht="56" customFormat="1" customHeight="1" s="281">
      <c r="B27" s="544" t="inlineStr">
        <is>
          <t>CR</t>
        </is>
      </c>
      <c r="C27" s="545" t="n">
        <v>20070049</v>
      </c>
      <c r="D27" s="546" t="inlineStr">
        <is>
          <t>VAT - Output</t>
        </is>
      </c>
      <c r="E27" s="546" t="inlineStr">
        <is>
          <t>VAT on Fees due to 9PSB</t>
        </is>
      </c>
      <c r="F27" s="490" t="inlineStr">
        <is>
          <t>IF (Silver Agent = 0.0000959302 * Nxxx capped at N4.92 ), 
IF (Gold Agent = 0.0000610465 * Nxxx capped at N4.22 ), 
IF (Platinum Agent = 0.0000261628 * Nxxx capped at N3.52)</t>
        </is>
      </c>
      <c r="H27" s="491">
        <f>IF(0.0000959302*H19&gt;4.92,4.92,0.0000959302*H19)</f>
        <v/>
      </c>
      <c r="J27" s="281">
        <f>7.5%*0.003+0.003</f>
        <v/>
      </c>
    </row>
    <row r="28" ht="68" customHeight="1" s="581" thickBot="1">
      <c r="B28" s="87" t="inlineStr">
        <is>
          <t>CR</t>
        </is>
      </c>
      <c r="C28" s="88" t="n">
        <v>20070068</v>
      </c>
      <c r="D28" s="367" t="inlineStr">
        <is>
          <t>Commission_Cashback Payable For Bank9ja Business</t>
        </is>
      </c>
      <c r="E28" s="119" t="inlineStr">
        <is>
          <t>Cashback Amount</t>
        </is>
      </c>
      <c r="F28" s="732" t="inlineStr">
        <is>
          <t>IF (Silver Agent = (0.0004 * Nxxx (capped at N25))
IF (Gold Agent = [(0.0004 * Nxxx (capped at N25)) + (0.0005 * Nxxx (capped at N10.00))]
IF (Platinum Agent [(0.0004 * Nxxx (capped at N25)) + (0.001 * Nxxx (capped at N20.00))]</t>
        </is>
      </c>
      <c r="G28" s="733" t="n"/>
      <c r="H28" s="368">
        <f>IF(0.0004*H19&gt;25,25,0.0004*H19)</f>
        <v/>
      </c>
    </row>
    <row r="29">
      <c r="B29" s="287" t="n"/>
      <c r="C29" s="287" t="n"/>
      <c r="D29" s="287" t="n"/>
      <c r="E29" s="287" t="n"/>
      <c r="F29" s="287" t="n"/>
    </row>
    <row r="30">
      <c r="B30" s="287" t="n"/>
      <c r="C30" s="287" t="n"/>
      <c r="D30" s="287" t="n"/>
      <c r="E30" s="287" t="n"/>
      <c r="F30" s="287" t="n"/>
      <c r="G30" s="2" t="inlineStr">
        <is>
          <t>Sum</t>
        </is>
      </c>
      <c r="H30" s="366">
        <f>SUM(H24:H28)</f>
        <v/>
      </c>
    </row>
    <row r="31">
      <c r="B31" s="287" t="n"/>
      <c r="C31" s="287" t="n"/>
      <c r="D31" s="287" t="n"/>
      <c r="E31" s="287" t="n"/>
      <c r="F31" s="287" t="n"/>
    </row>
    <row r="32">
      <c r="B32" s="80" t="n"/>
      <c r="E32" s="80" t="n"/>
      <c r="F32" s="80" t="n"/>
      <c r="G32" s="80" t="n"/>
    </row>
    <row r="33" ht="14" customHeight="1" s="581" thickBot="1">
      <c r="A33" s="142" t="n"/>
      <c r="B33" s="689" t="inlineStr">
        <is>
          <t>Agent classification based on transaction volume (count)</t>
        </is>
      </c>
      <c r="C33" s="666" t="n"/>
      <c r="D33" s="665" t="n"/>
      <c r="E33" s="666" t="n"/>
    </row>
    <row r="34" ht="14" customHeight="1" s="581" thickBot="1">
      <c r="A34" s="142" t="n"/>
      <c r="B34" s="668" t="inlineStr">
        <is>
          <t>Category</t>
        </is>
      </c>
      <c r="C34" s="734" t="inlineStr">
        <is>
          <t>Card Withdrawal Charge</t>
        </is>
      </c>
      <c r="D34" s="673" t="inlineStr">
        <is>
          <t>Remarks</t>
        </is>
      </c>
    </row>
    <row r="35">
      <c r="A35" s="142" t="n"/>
      <c r="B35" s="674" t="inlineStr">
        <is>
          <t xml:space="preserve">Silver </t>
        </is>
      </c>
      <c r="C35" s="735" t="inlineStr">
        <is>
          <t>0.50% capped at N100</t>
        </is>
      </c>
      <c r="D35" s="678" t="inlineStr">
        <is>
          <t>No Cashback</t>
        </is>
      </c>
    </row>
    <row r="36">
      <c r="A36" s="142" t="n"/>
      <c r="B36" s="679" t="inlineStr">
        <is>
          <t xml:space="preserve">Gold </t>
        </is>
      </c>
      <c r="C36" s="736" t="inlineStr">
        <is>
          <t>0.50% capped at N100</t>
        </is>
      </c>
      <c r="D36" s="683" t="inlineStr">
        <is>
          <t>10% Cashback on Fees</t>
        </is>
      </c>
      <c r="E36" s="658" t="n"/>
    </row>
    <row r="37">
      <c r="A37" s="142" t="n"/>
      <c r="B37" s="684" t="inlineStr">
        <is>
          <t xml:space="preserve">Platinum </t>
        </is>
      </c>
      <c r="C37" s="737" t="inlineStr">
        <is>
          <t>0.50% capped at N100</t>
        </is>
      </c>
      <c r="D37" s="688" t="inlineStr">
        <is>
          <t>20% Cashback on Fees</t>
        </is>
      </c>
    </row>
    <row r="38" ht="14" customHeight="1" s="581" thickBot="1">
      <c r="A38" s="142" t="n"/>
      <c r="B38" s="689" t="n"/>
      <c r="C38" s="666" t="n"/>
      <c r="D38" s="665" t="n"/>
      <c r="E38" s="666" t="n"/>
    </row>
    <row r="39" ht="14" customFormat="1" customHeight="1" s="2" thickBot="1">
      <c r="A39" s="143" t="n"/>
      <c r="B39" s="668" t="inlineStr">
        <is>
          <t>Where</t>
        </is>
      </c>
      <c r="C39" s="669" t="inlineStr">
        <is>
          <t>Card Withdrawal Tranx/Month</t>
        </is>
      </c>
      <c r="D39" s="738" t="n"/>
      <c r="E39" s="739" t="n"/>
    </row>
    <row r="40">
      <c r="A40" s="142" t="n"/>
      <c r="B40" s="674" t="inlineStr">
        <is>
          <t xml:space="preserve">Silver </t>
        </is>
      </c>
      <c r="C40" s="675" t="inlineStr">
        <is>
          <t>1-199</t>
        </is>
      </c>
      <c r="D40" s="665" t="n"/>
      <c r="E40" s="666" t="n"/>
    </row>
    <row r="41">
      <c r="A41" s="142" t="n"/>
      <c r="B41" s="679" t="inlineStr">
        <is>
          <t>Gold</t>
        </is>
      </c>
      <c r="C41" s="680" t="inlineStr">
        <is>
          <t>200-499</t>
        </is>
      </c>
      <c r="D41" s="665" t="n"/>
      <c r="E41" s="666" t="n"/>
    </row>
    <row r="42" ht="14" customHeight="1" s="581" thickBot="1">
      <c r="A42" s="142" t="n"/>
      <c r="B42" s="684" t="inlineStr">
        <is>
          <t>Platinum</t>
        </is>
      </c>
      <c r="C42" s="685" t="inlineStr">
        <is>
          <t>500 &amp; above</t>
        </is>
      </c>
      <c r="D42" s="665" t="n"/>
      <c r="E42" s="666" t="n"/>
    </row>
    <row r="43">
      <c r="A43" s="142" t="n"/>
      <c r="B43" s="689" t="n"/>
      <c r="C43" s="666" t="n"/>
      <c r="D43" s="665" t="n"/>
      <c r="E43" s="666" t="n"/>
    </row>
    <row r="44" ht="48" customHeight="1" s="581">
      <c r="A44" s="142" t="n"/>
      <c r="B44" s="740" t="inlineStr">
        <is>
          <t>Notes: 
(a) This classification will be automatically updated at the end of each month
(b) Cashback will be instantly credited into the Agent's Commission wallet</t>
        </is>
      </c>
      <c r="F44" s="666" t="n"/>
    </row>
  </sheetData>
  <mergeCells count="7">
    <mergeCell ref="B21:F21"/>
    <mergeCell ref="B19:D19"/>
    <mergeCell ref="B1:E1"/>
    <mergeCell ref="B44:E44"/>
    <mergeCell ref="B3:F3"/>
    <mergeCell ref="B22:F22"/>
    <mergeCell ref="B8:F8"/>
  </mergeCells>
  <pageMargins left="0.7086614173228347" right="0.7086614173228347" top="0.7480314960629921" bottom="0.7480314960629921" header="0.3149606299212598" footer="0.3149606299212598"/>
  <pageSetup orientation="portrait" paperSize="9" scale="34"/>
</worksheet>
</file>

<file path=xl/worksheets/sheet11.xml><?xml version="1.0" encoding="utf-8"?>
<worksheet xmlns="http://schemas.openxmlformats.org/spreadsheetml/2006/main">
  <sheetPr>
    <tabColor theme="9"/>
    <outlinePr summaryBelow="1" summaryRight="1"/>
    <pageSetUpPr fitToPage="1"/>
  </sheetPr>
  <dimension ref="A1:K159"/>
  <sheetViews>
    <sheetView topLeftCell="A105" zoomScale="68" zoomScaleNormal="85" workbookViewId="0">
      <selection activeCell="D130" sqref="D130"/>
    </sheetView>
  </sheetViews>
  <sheetFormatPr baseColWidth="8" defaultColWidth="12.1796875" defaultRowHeight="13.5"/>
  <cols>
    <col width="15" customWidth="1" style="563" min="1" max="1"/>
    <col width="11.453125" customWidth="1" style="563" min="2" max="2"/>
    <col width="28.81640625" customWidth="1" style="563" min="3" max="3"/>
    <col width="50.6328125" customWidth="1" style="563" min="4" max="4"/>
    <col width="37.1796875" customWidth="1" style="563" min="5" max="5"/>
    <col width="71.7265625" customWidth="1" style="563" min="6" max="6"/>
    <col width="12.1796875" customWidth="1" style="563" min="7" max="8"/>
    <col width="14.36328125" bestFit="1" customWidth="1" style="563" min="9" max="9"/>
    <col width="16.36328125" bestFit="1" customWidth="1" style="563" min="10" max="10"/>
    <col width="12.1796875" customWidth="1" style="563" min="11" max="11"/>
    <col width="12.1796875" customWidth="1" style="563" min="12" max="16384"/>
  </cols>
  <sheetData>
    <row r="1">
      <c r="B1" s="589" t="inlineStr">
        <is>
          <t>TRANSACTION TYPE : TRANSFER WITH DEBIT CARD (ISW as a Processor)</t>
        </is>
      </c>
    </row>
    <row r="2">
      <c r="B2" s="589" t="n"/>
      <c r="C2" s="589" t="n"/>
      <c r="D2" s="589" t="n"/>
    </row>
    <row r="3">
      <c r="B3" s="589" t="inlineStr">
        <is>
          <t>Card Transfer : 1st Leg - Debit to Customer's Card</t>
        </is>
      </c>
    </row>
    <row r="4" ht="3.5" customHeight="1" s="581" thickBot="1"/>
    <row r="5" ht="14" customHeight="1" s="581" thickBot="1">
      <c r="B5" s="579" t="inlineStr">
        <is>
          <t>At the customer's (issuer's) Bank</t>
        </is>
      </c>
      <c r="C5" s="573" t="n"/>
      <c r="D5" s="573" t="n"/>
      <c r="E5" s="573" t="n"/>
      <c r="F5" s="574" t="n"/>
    </row>
    <row r="6" ht="14" customFormat="1" customHeight="1" s="2" thickBot="1">
      <c r="B6" s="94" t="inlineStr">
        <is>
          <t>Type</t>
        </is>
      </c>
      <c r="C6" s="95" t="inlineStr">
        <is>
          <t>Account Number</t>
        </is>
      </c>
      <c r="D6" s="95" t="inlineStr">
        <is>
          <t>Name</t>
        </is>
      </c>
      <c r="E6" s="95" t="inlineStr">
        <is>
          <t>Amount</t>
        </is>
      </c>
      <c r="F6" s="96" t="inlineStr">
        <is>
          <t>Value</t>
        </is>
      </c>
    </row>
    <row r="7">
      <c r="B7" s="91" t="inlineStr">
        <is>
          <t>DR</t>
        </is>
      </c>
      <c r="C7" s="92" t="inlineStr">
        <is>
          <t>XXXXXXXXXXX</t>
        </is>
      </c>
      <c r="D7" s="92" t="inlineStr">
        <is>
          <t>Customer's Name</t>
        </is>
      </c>
      <c r="E7" s="92" t="inlineStr">
        <is>
          <t>Tranx Amt</t>
        </is>
      </c>
      <c r="F7" s="93" t="inlineStr">
        <is>
          <t>Nxxx</t>
        </is>
      </c>
    </row>
    <row r="8" ht="14" customHeight="1" s="581" thickBot="1">
      <c r="B8" s="87" t="inlineStr">
        <is>
          <t>CR</t>
        </is>
      </c>
      <c r="C8" s="89" t="inlineStr">
        <is>
          <t>CCCCCCCCCCC</t>
        </is>
      </c>
      <c r="D8" s="89" t="inlineStr">
        <is>
          <t>Card Transaction Payable Account</t>
        </is>
      </c>
      <c r="E8" s="89" t="inlineStr">
        <is>
          <t>Tranx Amt</t>
        </is>
      </c>
      <c r="F8" s="90" t="inlineStr">
        <is>
          <t>Nxxx</t>
        </is>
      </c>
    </row>
    <row r="9" ht="14" customHeight="1" s="581" thickBot="1">
      <c r="B9" s="2" t="n"/>
    </row>
    <row r="10" ht="14.5" customHeight="1" s="581" thickBot="1">
      <c r="B10" s="579" t="inlineStr">
        <is>
          <t>On the Elkanah Agent Banking System : At Transaction Time : Instant Settlement</t>
        </is>
      </c>
      <c r="C10" s="573" t="n"/>
      <c r="D10" s="573" t="n"/>
      <c r="E10" s="573" t="n"/>
      <c r="F10" s="574" t="n"/>
      <c r="G10" s="2" t="inlineStr">
        <is>
          <t>Tranx Amt</t>
        </is>
      </c>
      <c r="H10" s="659" t="n">
        <v>1000</v>
      </c>
    </row>
    <row r="11" ht="14" customFormat="1" customHeight="1" s="2" thickBot="1">
      <c r="B11" s="94" t="inlineStr">
        <is>
          <t>Type</t>
        </is>
      </c>
      <c r="C11" s="95" t="inlineStr">
        <is>
          <t>Account Number</t>
        </is>
      </c>
      <c r="D11" s="95" t="inlineStr">
        <is>
          <t>Name</t>
        </is>
      </c>
      <c r="E11" s="95" t="inlineStr">
        <is>
          <t>Amount</t>
        </is>
      </c>
      <c r="F11" s="96" t="inlineStr">
        <is>
          <t>Value</t>
        </is>
      </c>
      <c r="H11" s="2" t="inlineStr">
        <is>
          <t>Test Values</t>
        </is>
      </c>
    </row>
    <row r="12">
      <c r="B12" s="98" t="inlineStr">
        <is>
          <t>DR</t>
        </is>
      </c>
      <c r="C12" s="83" t="inlineStr">
        <is>
          <t>EEEEEEEE</t>
        </is>
      </c>
      <c r="D12" s="83" t="inlineStr">
        <is>
          <t>Elkanah's Wallet Suspense Account</t>
        </is>
      </c>
      <c r="E12" s="83" t="inlineStr">
        <is>
          <t>Tranx Amt</t>
        </is>
      </c>
      <c r="F12" s="84" t="inlineStr">
        <is>
          <t>Nxxx</t>
        </is>
      </c>
      <c r="H12" s="368">
        <f>-H10</f>
        <v/>
      </c>
    </row>
    <row r="13">
      <c r="B13" s="85" t="inlineStr">
        <is>
          <t>CR</t>
        </is>
      </c>
      <c r="C13" s="81" t="inlineStr">
        <is>
          <t>AAAAAAAAAA</t>
        </is>
      </c>
      <c r="D13" s="81" t="inlineStr">
        <is>
          <t xml:space="preserve">Agent's Main Wallet </t>
        </is>
      </c>
      <c r="E13" s="81" t="inlineStr">
        <is>
          <t xml:space="preserve">Tranx Amt </t>
        </is>
      </c>
      <c r="F13" s="86" t="inlineStr">
        <is>
          <t xml:space="preserve">Nxxx </t>
        </is>
      </c>
      <c r="H13" s="368">
        <f>H10</f>
        <v/>
      </c>
    </row>
    <row r="14">
      <c r="B14" s="99" t="inlineStr">
        <is>
          <t>DR</t>
        </is>
      </c>
      <c r="C14" s="81" t="inlineStr">
        <is>
          <t>AAAAAAAAAA</t>
        </is>
      </c>
      <c r="D14" s="81" t="inlineStr">
        <is>
          <t xml:space="preserve">Agent's Main Wallet </t>
        </is>
      </c>
      <c r="E14" s="81" t="inlineStr">
        <is>
          <t>Total Charge</t>
        </is>
      </c>
      <c r="F14" s="278" t="inlineStr">
        <is>
          <t>0.005 * Nxxx (capped at N100)   e.g. N1,000 -&gt; N5.00</t>
        </is>
      </c>
      <c r="H14" s="368">
        <f>-IF(0.005*H10&gt;100,100,0.005*H10)</f>
        <v/>
      </c>
    </row>
    <row r="15">
      <c r="B15" s="85" t="inlineStr">
        <is>
          <t>CR</t>
        </is>
      </c>
      <c r="C15" s="156" t="inlineStr">
        <is>
          <t>SLPSLPSLP</t>
        </is>
      </c>
      <c r="D15" s="92" t="inlineStr">
        <is>
          <t>SLP Commission Wallet</t>
        </is>
      </c>
      <c r="E15" s="92" t="inlineStr">
        <is>
          <t>Comm. Due to SLP (where applicable)</t>
        </is>
      </c>
      <c r="F15" s="86" t="inlineStr">
        <is>
          <t>0.0004 * Nxxx (capped at N25)</t>
        </is>
      </c>
      <c r="H15" s="368">
        <f>IF(0.0004*H10&gt;25,25,0.0004*H10)</f>
        <v/>
      </c>
    </row>
    <row r="16" ht="47.5" customFormat="1" customHeight="1" s="281" thickBot="1">
      <c r="B16" s="284" t="inlineStr">
        <is>
          <t>CR</t>
        </is>
      </c>
      <c r="C16" s="369" t="inlineStr">
        <is>
          <t>CCCCCCCCCCC</t>
        </is>
      </c>
      <c r="D16" s="370" t="inlineStr">
        <is>
          <t>Agent Commission Wallet</t>
        </is>
      </c>
      <c r="E16" s="371" t="inlineStr">
        <is>
          <t xml:space="preserve">Cashback on cashout fee </t>
        </is>
      </c>
      <c r="F16" s="372" t="inlineStr">
        <is>
          <t>IF (Silver Agent, cashback = 0)
IF (Gold Agent, cashback = (0.0005 * Nxxx capped at N10.00)
IF (Platinum Agent, cashback = (0.001 * Nxxx capped at N20.00)</t>
        </is>
      </c>
      <c r="H16" s="795" t="n">
        <v>0</v>
      </c>
      <c r="J16" s="728" t="n"/>
    </row>
    <row r="17" ht="41" customHeight="1" s="581" thickBot="1">
      <c r="B17" s="101" t="inlineStr">
        <is>
          <t>CR</t>
        </is>
      </c>
      <c r="C17" s="102" t="inlineStr">
        <is>
          <t>EEEEEEEE</t>
        </is>
      </c>
      <c r="D17" s="102" t="inlineStr">
        <is>
          <t>Elkanah's Wallet Suspense Account</t>
        </is>
      </c>
      <c r="E17" s="102" t="inlineStr">
        <is>
          <t>Part Fees</t>
        </is>
      </c>
      <c r="F17" s="729" t="inlineStr">
        <is>
          <t>Part Fees to Elkanah Suspense = Total Charge - SLP - Cashback (residual) -&gt; settled on Core Banking as ISW + Revenue to 9PSB + VAT.
Silver 0.46% | Gold 0.41% | Platinum 0.36% of Nxxx (up to the N100 total-charge cap).
Maximum Part Fees (at N20,000, where the N100 total cap binds): Silver N92.00 | Gold N82.00 | Platinum N72.00
  = ISW N21.50 + Revenue (Silver 65.58 / Gold 56.28 / Platinum 46.98) + VAT (Silver 4.92 / Gold 4.22 / Platinum 3.52).</t>
        </is>
      </c>
      <c r="H17" s="796">
        <f>-H14-H15-H16</f>
        <v/>
      </c>
      <c r="I17" s="730" t="n"/>
    </row>
    <row r="18">
      <c r="B18" s="163" t="inlineStr">
        <is>
          <t>Note: SLPSLPSLP is a varying SLP commission wallets on Elkanah. This is the wallet of the SLP which the transacting Agent's Main Wallet is mapped to. Where an Agent has no SLP the commission is credited to the Bank</t>
        </is>
      </c>
      <c r="I18" s="731" t="n"/>
    </row>
    <row r="19">
      <c r="B19" s="163" t="n"/>
      <c r="I19" s="731" t="n"/>
    </row>
    <row r="20">
      <c r="B20" s="2" t="n"/>
    </row>
    <row r="21" ht="14" customHeight="1" s="581" thickBot="1">
      <c r="B21" s="587" t="inlineStr">
        <is>
          <t>On the Core Banking System</t>
        </is>
      </c>
      <c r="C21" s="588" t="n"/>
      <c r="D21" s="588" t="n"/>
      <c r="F21" s="658" t="n"/>
      <c r="G21" s="2" t="inlineStr">
        <is>
          <t>Tranx Amt</t>
        </is>
      </c>
      <c r="H21" s="659">
        <f>H10</f>
        <v/>
      </c>
    </row>
    <row r="22" ht="6" customHeight="1" s="581" thickBot="1">
      <c r="B22" s="97" t="n"/>
      <c r="C22" s="97" t="n"/>
      <c r="D22" s="97" t="n"/>
    </row>
    <row r="23" ht="14" customHeight="1" s="581" thickBot="1">
      <c r="B23" s="586" t="inlineStr">
        <is>
          <t>Card Withdrawal (for all amounts) : Total Fees + VAT : (0.005 of tranx amount capped at N100)</t>
        </is>
      </c>
      <c r="C23" s="573" t="n"/>
      <c r="D23" s="573" t="n"/>
      <c r="E23" s="573" t="n"/>
      <c r="F23" s="574" t="n"/>
    </row>
    <row r="24" ht="5.5" customHeight="1" s="581" thickBot="1">
      <c r="B24" s="591" t="n"/>
      <c r="C24" s="573" t="n"/>
      <c r="D24" s="573" t="n"/>
      <c r="E24" s="573" t="n"/>
      <c r="F24" s="574" t="n"/>
    </row>
    <row r="25" ht="14" customFormat="1" customHeight="1" s="2" thickBot="1">
      <c r="B25" s="105" t="inlineStr">
        <is>
          <t>Type</t>
        </is>
      </c>
      <c r="C25" s="106" t="inlineStr">
        <is>
          <t>Account Number</t>
        </is>
      </c>
      <c r="D25" s="106" t="inlineStr">
        <is>
          <t>Name</t>
        </is>
      </c>
      <c r="E25" s="106" t="inlineStr">
        <is>
          <t>Amount</t>
        </is>
      </c>
      <c r="F25" s="107" t="inlineStr">
        <is>
          <t>Value</t>
        </is>
      </c>
      <c r="H25" s="354" t="inlineStr">
        <is>
          <t>Test Values</t>
        </is>
      </c>
    </row>
    <row r="26">
      <c r="B26" s="541" t="inlineStr">
        <is>
          <t>DR</t>
        </is>
      </c>
      <c r="C26" s="542" t="n">
        <v>10120011</v>
      </c>
      <c r="D26" s="543" t="inlineStr">
        <is>
          <t>ISW Card Transaction - Receivable GL</t>
        </is>
      </c>
      <c r="E26" s="543" t="inlineStr">
        <is>
          <t>Tranx Amt less ISW Fees</t>
        </is>
      </c>
      <c r="F26" s="488" t="inlineStr">
        <is>
          <t>Nxxx less [0.003225 * Nxxx (capped at N21.50)]</t>
        </is>
      </c>
      <c r="H26" s="489">
        <f>(H21-IF(0.003225*H21&gt;21.5,21.5,0.003225*H21))</f>
        <v/>
      </c>
    </row>
    <row r="27">
      <c r="B27" s="85" t="inlineStr">
        <is>
          <t>CR</t>
        </is>
      </c>
      <c r="C27" s="82" t="n">
        <v>10120004</v>
      </c>
      <c r="D27" s="81" t="inlineStr">
        <is>
          <t>Float Account - Agent Banking</t>
        </is>
      </c>
      <c r="E27" s="81" t="inlineStr">
        <is>
          <t>Tranx Amt less Total Charges</t>
        </is>
      </c>
      <c r="F27" s="86" t="inlineStr">
        <is>
          <t>Nxxx less [(0.005 * Nxxx capped at N100)]</t>
        </is>
      </c>
      <c r="H27" s="368">
        <f>(H21-IF(0.005*H21&gt;100,100,0.005*H21))</f>
        <v/>
      </c>
      <c r="J27" s="563" t="n">
        <v>0.005</v>
      </c>
      <c r="K27" s="563">
        <f>J27-J28</f>
        <v/>
      </c>
    </row>
    <row r="28" ht="44.5" customFormat="1" customHeight="1" s="281">
      <c r="B28" s="544" t="inlineStr">
        <is>
          <t>CR</t>
        </is>
      </c>
      <c r="C28" s="545" t="n">
        <v>40060024</v>
      </c>
      <c r="D28" s="546" t="inlineStr">
        <is>
          <t>Revenue from Cashout</t>
        </is>
      </c>
      <c r="E28" s="546" t="inlineStr">
        <is>
          <t>Fees due to 9PSB</t>
        </is>
      </c>
      <c r="F28" s="490" t="inlineStr">
        <is>
          <t>IF (Silver Agent = 0.00127907 * Nxxx capped at N65.58), 
IF (Gold Agent = 0.000813953 * Nxxx capped at N56.28), 
IF (Platinum Agent = 0.000348837 * Nxxx capped at N46.98)</t>
        </is>
      </c>
      <c r="H28" s="491">
        <f>IF(0.00127907*H21&gt;65.58,65.58,0.00127907*H21)</f>
        <v/>
      </c>
      <c r="J28" s="281">
        <f>0.001488372+0.0001116279</f>
        <v/>
      </c>
    </row>
    <row r="29" ht="56" customFormat="1" customHeight="1" s="281">
      <c r="B29" s="544" t="inlineStr">
        <is>
          <t>CR</t>
        </is>
      </c>
      <c r="C29" s="545" t="n">
        <v>20070049</v>
      </c>
      <c r="D29" s="546" t="inlineStr">
        <is>
          <t>VAT - Output</t>
        </is>
      </c>
      <c r="E29" s="546" t="inlineStr">
        <is>
          <t>VAT on Fees due to 9PSB</t>
        </is>
      </c>
      <c r="F29" s="490" t="inlineStr">
        <is>
          <t>IF (Silver Agent = 0.0000959302 * Nxxx capped at N4.92 ), 
IF (Gold Agent = 0.0000610465 * Nxxx capped at N4.22 ), 
IF (Platinum Agent = 0.0000261628 * Nxxx capped at N3.52)</t>
        </is>
      </c>
      <c r="H29" s="491">
        <f>IF(0.0000959302*H21&gt;4.92,4.92,0.0000959302*H21)</f>
        <v/>
      </c>
    </row>
    <row r="30" ht="68" customHeight="1" s="581" thickBot="1">
      <c r="B30" s="87" t="inlineStr">
        <is>
          <t>CR</t>
        </is>
      </c>
      <c r="C30" s="88" t="n">
        <v>20070068</v>
      </c>
      <c r="D30" s="367" t="inlineStr">
        <is>
          <t>Commission_Cashback Payable For Bank9ja Business</t>
        </is>
      </c>
      <c r="E30" s="119" t="inlineStr">
        <is>
          <t>Cashback Amount</t>
        </is>
      </c>
      <c r="F30" s="732" t="inlineStr">
        <is>
          <t>IF (Silver Agent = (0.0004 * Nxxx (capped at N25))
IF (Gold Agent = [(0.0004 * Nxxx (capped at N25)) + (0.0005 * Nxxx (capped at N10.00))]
IF (Platinum Agent [(0.0004 * Nxxx (capped at N25)) + (0.001 * Nxxx (capped at N20.00))]</t>
        </is>
      </c>
      <c r="G30" s="733" t="n"/>
      <c r="H30" s="368">
        <f>IF(0.0004*H21&gt;25,25,0.0004*H21)</f>
        <v/>
      </c>
    </row>
    <row r="31">
      <c r="B31" s="287" t="n"/>
      <c r="C31" s="287" t="n"/>
      <c r="D31" s="287" t="n"/>
      <c r="E31" s="287" t="n"/>
      <c r="F31" s="287" t="n"/>
      <c r="J31" s="563">
        <f>7.5%*0.005</f>
        <v/>
      </c>
    </row>
    <row r="32">
      <c r="B32" s="287" t="n"/>
      <c r="C32" s="287" t="n"/>
      <c r="D32" s="287" t="n"/>
      <c r="E32" s="287" t="n"/>
      <c r="F32" s="287" t="n"/>
      <c r="G32" s="2" t="inlineStr">
        <is>
          <t>Sum</t>
        </is>
      </c>
      <c r="H32" s="366">
        <f>SUM(H26:H30)</f>
        <v/>
      </c>
      <c r="J32" s="563">
        <f>0.005+J31</f>
        <v/>
      </c>
    </row>
    <row r="33">
      <c r="B33" s="287" t="n"/>
      <c r="C33" s="287" t="n"/>
      <c r="D33" s="287" t="n"/>
      <c r="E33" s="287" t="n"/>
      <c r="F33" s="287" t="n"/>
    </row>
    <row r="34">
      <c r="B34" s="80" t="n"/>
      <c r="E34" s="80" t="n"/>
      <c r="F34" s="80" t="n"/>
      <c r="G34" s="80" t="n"/>
    </row>
    <row r="35" ht="14" customHeight="1" s="581" thickBot="1">
      <c r="A35" s="142" t="n"/>
      <c r="B35" s="689" t="inlineStr">
        <is>
          <t>Agent classification based on transaction volume (count)</t>
        </is>
      </c>
      <c r="C35" s="666" t="n"/>
      <c r="D35" s="665" t="n"/>
      <c r="E35" s="666" t="n"/>
    </row>
    <row r="36" ht="14" customHeight="1" s="581" thickBot="1">
      <c r="A36" s="142" t="n"/>
      <c r="B36" s="668" t="inlineStr">
        <is>
          <t>Category</t>
        </is>
      </c>
      <c r="C36" s="734" t="inlineStr">
        <is>
          <t>Card Withdrawal Charge</t>
        </is>
      </c>
      <c r="D36" s="673" t="inlineStr">
        <is>
          <t>Remarks</t>
        </is>
      </c>
    </row>
    <row r="37">
      <c r="A37" s="142" t="n"/>
      <c r="B37" s="674" t="inlineStr">
        <is>
          <t xml:space="preserve">Silver </t>
        </is>
      </c>
      <c r="C37" s="735" t="inlineStr">
        <is>
          <t>0.50% capped at N100</t>
        </is>
      </c>
      <c r="D37" s="678" t="inlineStr">
        <is>
          <t>No Cashback</t>
        </is>
      </c>
    </row>
    <row r="38">
      <c r="A38" s="142" t="n"/>
      <c r="B38" s="679" t="inlineStr">
        <is>
          <t xml:space="preserve">Gold </t>
        </is>
      </c>
      <c r="C38" s="736" t="inlineStr">
        <is>
          <t>0.50% capped at N100</t>
        </is>
      </c>
      <c r="D38" s="683" t="inlineStr">
        <is>
          <t>10% Cashback on Fees</t>
        </is>
      </c>
      <c r="E38" s="658" t="n"/>
    </row>
    <row r="39" ht="14" customHeight="1" s="581" thickBot="1">
      <c r="A39" s="142" t="n"/>
      <c r="B39" s="684" t="inlineStr">
        <is>
          <t xml:space="preserve">Platinum </t>
        </is>
      </c>
      <c r="C39" s="737" t="inlineStr">
        <is>
          <t>0.50% capped at N100</t>
        </is>
      </c>
      <c r="D39" s="688" t="inlineStr">
        <is>
          <t>20% Cashback on Fees</t>
        </is>
      </c>
    </row>
    <row r="40" ht="14" customHeight="1" s="581" thickBot="1">
      <c r="A40" s="142" t="n"/>
      <c r="B40" s="689" t="n"/>
      <c r="C40" s="666" t="n"/>
      <c r="D40" s="665" t="n"/>
      <c r="E40" s="666" t="n"/>
    </row>
    <row r="41" ht="14" customFormat="1" customHeight="1" s="2" thickBot="1">
      <c r="A41" s="143" t="n"/>
      <c r="B41" s="668" t="inlineStr">
        <is>
          <t>Where</t>
        </is>
      </c>
      <c r="C41" s="669" t="inlineStr">
        <is>
          <t>Card Withdrawal Tranx/Month</t>
        </is>
      </c>
      <c r="D41" s="738" t="n"/>
      <c r="E41" s="739" t="n"/>
    </row>
    <row r="42">
      <c r="A42" s="142" t="n"/>
      <c r="B42" s="674" t="inlineStr">
        <is>
          <t xml:space="preserve">Silver </t>
        </is>
      </c>
      <c r="C42" s="675" t="inlineStr">
        <is>
          <t>1-199</t>
        </is>
      </c>
      <c r="D42" s="665" t="n"/>
      <c r="E42" s="666" t="n"/>
    </row>
    <row r="43">
      <c r="A43" s="142" t="n"/>
      <c r="B43" s="679" t="inlineStr">
        <is>
          <t>Gold</t>
        </is>
      </c>
      <c r="C43" s="680" t="inlineStr">
        <is>
          <t>200-499</t>
        </is>
      </c>
      <c r="D43" s="665" t="n"/>
      <c r="E43" s="666" t="n"/>
    </row>
    <row r="44" ht="14" customHeight="1" s="581" thickBot="1">
      <c r="A44" s="142" t="n"/>
      <c r="B44" s="684" t="inlineStr">
        <is>
          <t>Platinum</t>
        </is>
      </c>
      <c r="C44" s="685" t="inlineStr">
        <is>
          <t>500 &amp; above</t>
        </is>
      </c>
      <c r="D44" s="665" t="n"/>
      <c r="E44" s="666" t="n"/>
    </row>
    <row r="45">
      <c r="A45" s="142" t="n"/>
      <c r="B45" s="689" t="n"/>
      <c r="C45" s="666" t="n"/>
      <c r="D45" s="665" t="n"/>
      <c r="E45" s="666" t="n"/>
    </row>
    <row r="46" ht="48" customHeight="1" s="581">
      <c r="A46" s="142" t="n"/>
      <c r="B46" s="740" t="inlineStr">
        <is>
          <t>Notes: 
(a) This classification will be automatically updated at the end of each month
(b) Cashback will be instantly credited into the Agent's Commission wallet</t>
        </is>
      </c>
      <c r="F46" s="666" t="n"/>
    </row>
    <row r="48">
      <c r="B48" s="287" t="n"/>
      <c r="C48" s="287" t="n"/>
      <c r="D48" s="287" t="n"/>
      <c r="E48" s="287" t="n"/>
      <c r="F48" s="287" t="n"/>
    </row>
    <row r="50">
      <c r="B50" s="589" t="inlineStr">
        <is>
          <t>Card Transfer : 2nd Leg - Transfer to Beneficiary's Account</t>
        </is>
      </c>
    </row>
    <row r="52">
      <c r="B52" s="593" t="inlineStr">
        <is>
          <t>Scenario 1 : Where the destination account/wallet is in 9PSB</t>
        </is>
      </c>
    </row>
    <row r="53">
      <c r="B53" s="593" t="n"/>
      <c r="C53" s="593" t="n"/>
      <c r="D53" s="593" t="n"/>
    </row>
    <row r="54">
      <c r="B54" s="589" t="inlineStr">
        <is>
          <t>TRANSACTION TYPE : DEPOSIT/CASH-IN (TRANSFER TO 9PSB ACCOUNT) : Total Fees + VAT : N20.00</t>
        </is>
      </c>
    </row>
    <row r="55" ht="14" customHeight="1" s="581" thickBot="1">
      <c r="A55" s="354" t="inlineStr">
        <is>
          <t>Scenario 1</t>
        </is>
      </c>
      <c r="B55" s="354" t="inlineStr">
        <is>
          <t>Where</t>
        </is>
      </c>
      <c r="C55" s="354" t="inlineStr">
        <is>
          <t>Amount : N1 - N9,999</t>
        </is>
      </c>
    </row>
    <row r="56" ht="14" customHeight="1" s="581" thickBot="1">
      <c r="B56" s="579" t="inlineStr">
        <is>
          <t>On Elkanah Platform</t>
        </is>
      </c>
      <c r="C56" s="573" t="n"/>
      <c r="D56" s="573" t="n"/>
      <c r="E56" s="573" t="n"/>
      <c r="F56" s="574" t="n"/>
    </row>
    <row r="57" ht="14" customFormat="1" customHeight="1" s="2" thickBot="1">
      <c r="B57" s="94" t="inlineStr">
        <is>
          <t>Type</t>
        </is>
      </c>
      <c r="C57" s="95" t="inlineStr">
        <is>
          <t>Account Number</t>
        </is>
      </c>
      <c r="D57" s="95" t="inlineStr">
        <is>
          <t>Name</t>
        </is>
      </c>
      <c r="E57" s="95" t="inlineStr">
        <is>
          <t>Amount</t>
        </is>
      </c>
      <c r="F57" s="96" t="inlineStr">
        <is>
          <t>Value</t>
        </is>
      </c>
    </row>
    <row r="58">
      <c r="B58" s="98" t="inlineStr">
        <is>
          <t>DR</t>
        </is>
      </c>
      <c r="C58" s="83" t="inlineStr">
        <is>
          <t xml:space="preserve">YYYYYYYYYY  </t>
        </is>
      </c>
      <c r="D58" s="83" t="inlineStr">
        <is>
          <t>Agent's Wallet</t>
        </is>
      </c>
      <c r="E58" s="83" t="inlineStr">
        <is>
          <t>Tranx Amt + Total Fees + VAT</t>
        </is>
      </c>
      <c r="F58" s="192" t="inlineStr">
        <is>
          <t>Nxxx + N20.00</t>
        </is>
      </c>
    </row>
    <row r="59" ht="40.5" customHeight="1" s="581">
      <c r="B59" s="85" t="inlineStr">
        <is>
          <t>CR</t>
        </is>
      </c>
      <c r="C59" s="81" t="inlineStr">
        <is>
          <t>EEEEEEEE</t>
        </is>
      </c>
      <c r="D59" s="124" t="inlineStr">
        <is>
          <t>Elkanah's Wallet Suspense Account</t>
        </is>
      </c>
      <c r="E59" s="124" t="inlineStr">
        <is>
          <t>Tranx Amt</t>
        </is>
      </c>
      <c r="F59" s="741" t="inlineStr">
        <is>
          <t>IF (Silver Agent = Nxxx + N16.00)
IF (Gold Agent = Nxxx + N14.00)
IF (Platinum Agent = Nxxx + N12.00)</t>
        </is>
      </c>
    </row>
    <row r="60">
      <c r="B60" s="91" t="inlineStr">
        <is>
          <t>CR</t>
        </is>
      </c>
      <c r="C60" s="92" t="inlineStr">
        <is>
          <t>SLPSLPSLP</t>
        </is>
      </c>
      <c r="D60" s="92" t="inlineStr">
        <is>
          <t>SLP Commission Wallet</t>
        </is>
      </c>
      <c r="E60" s="81" t="inlineStr">
        <is>
          <t>Comm. Due to SLP (where applicable)</t>
        </is>
      </c>
      <c r="F60" s="742" t="n">
        <v>4</v>
      </c>
      <c r="G60" s="733" t="n"/>
    </row>
    <row r="61" ht="41" customHeight="1" s="581" thickBot="1">
      <c r="B61" s="101" t="inlineStr">
        <is>
          <t>CR</t>
        </is>
      </c>
      <c r="C61" s="102" t="inlineStr">
        <is>
          <t>AAAAAAAAA</t>
        </is>
      </c>
      <c r="D61" s="102" t="inlineStr">
        <is>
          <t>Agent Commission Wallet</t>
        </is>
      </c>
      <c r="E61" s="102" t="inlineStr">
        <is>
          <t>Cashback on cashout fee (where applicable)</t>
        </is>
      </c>
      <c r="F61" s="743" t="inlineStr">
        <is>
          <t>IF (Silver Agent, cashback = 0)
IF (Gold Agent, cashback = (N2.00)
IF (Platinum Agent, cashback = (N4.00)</t>
        </is>
      </c>
      <c r="G61" s="733" t="n"/>
    </row>
    <row r="62">
      <c r="B62" s="163" t="inlineStr">
        <is>
          <t>Note: SLPSLPSLP is a varying SLP commission wallets on Elkanah. This is the wallet of the SLP which the transacting Agent's Main Wallet is mapped to. Where an Agent has no SLP, the commission is credited to the Bank</t>
        </is>
      </c>
      <c r="I62" s="731" t="n"/>
    </row>
    <row r="64" ht="14" customHeight="1" s="581" thickBot="1">
      <c r="B64" s="594" t="inlineStr">
        <is>
          <t>On the Core Banking System</t>
        </is>
      </c>
      <c r="C64" s="570" t="n"/>
      <c r="D64" s="570" t="n"/>
    </row>
    <row r="65" ht="14" customFormat="1" customHeight="1" s="2" thickBot="1">
      <c r="B65" s="94" t="inlineStr">
        <is>
          <t>Type</t>
        </is>
      </c>
      <c r="C65" s="95" t="inlineStr">
        <is>
          <t>Account Number</t>
        </is>
      </c>
      <c r="D65" s="95" t="inlineStr">
        <is>
          <t>Name</t>
        </is>
      </c>
      <c r="E65" s="95" t="inlineStr">
        <is>
          <t>Amount</t>
        </is>
      </c>
      <c r="F65" s="96" t="inlineStr">
        <is>
          <t>Value</t>
        </is>
      </c>
    </row>
    <row r="66">
      <c r="B66" s="91" t="inlineStr">
        <is>
          <t>DR</t>
        </is>
      </c>
      <c r="C66" s="156" t="n">
        <v>10120004</v>
      </c>
      <c r="D66" s="92" t="inlineStr">
        <is>
          <t>Float Account - Agent Banking</t>
        </is>
      </c>
      <c r="E66" s="92" t="inlineStr">
        <is>
          <t>Tranx Amt + Total Fees + VAT</t>
        </is>
      </c>
      <c r="F66" s="741" t="inlineStr">
        <is>
          <t>Nxxx + N20.00</t>
        </is>
      </c>
    </row>
    <row r="67" ht="40.5" customHeight="1" s="581">
      <c r="B67" s="85" t="inlineStr">
        <is>
          <t>CR</t>
        </is>
      </c>
      <c r="C67" s="82" t="n">
        <v>20070068</v>
      </c>
      <c r="D67" s="123" t="inlineStr">
        <is>
          <t>Commission_Cashback Payable For Bank9ja Business</t>
        </is>
      </c>
      <c r="E67" s="123" t="inlineStr">
        <is>
          <t>Cashback Amount</t>
        </is>
      </c>
      <c r="F67" s="741" t="inlineStr">
        <is>
          <t>IF (Silver Agent = N4.00)
IF (Gold Agent = (N6.00)
IF (Platinum Agent (N8.00)</t>
        </is>
      </c>
      <c r="G67" s="733" t="n"/>
    </row>
    <row r="68">
      <c r="B68" s="91" t="inlineStr">
        <is>
          <t>CR</t>
        </is>
      </c>
      <c r="C68" s="156" t="inlineStr">
        <is>
          <t>XXXXXXXXXX</t>
        </is>
      </c>
      <c r="D68" s="92" t="inlineStr">
        <is>
          <t>Beneficiary's Account in 9PSB</t>
        </is>
      </c>
      <c r="E68" s="92" t="inlineStr">
        <is>
          <t>Tranx Amt</t>
        </is>
      </c>
      <c r="F68" s="355" t="inlineStr">
        <is>
          <t>Nxxx</t>
        </is>
      </c>
    </row>
    <row r="69" ht="40.5" customFormat="1" customHeight="1" s="281">
      <c r="B69" s="279" t="inlineStr">
        <is>
          <t>CR</t>
        </is>
      </c>
      <c r="C69" s="282" t="n">
        <v>40060022</v>
      </c>
      <c r="D69" s="283" t="inlineStr">
        <is>
          <t>Revenue from Cashin - Agent</t>
        </is>
      </c>
      <c r="E69" s="283" t="inlineStr">
        <is>
          <t>Fees due to 9PSB</t>
        </is>
      </c>
      <c r="F69" s="741" t="inlineStr">
        <is>
          <t>IF (Silver Agent = N14.88)
IF (Gold Agent = (N13.02)
IF (Platinum Agent (N11.16)</t>
        </is>
      </c>
    </row>
    <row r="70" ht="41" customFormat="1" customHeight="1" s="281" thickBot="1">
      <c r="B70" s="284" t="inlineStr">
        <is>
          <t>CR</t>
        </is>
      </c>
      <c r="C70" s="285" t="n">
        <v>20070049</v>
      </c>
      <c r="D70" s="286" t="inlineStr">
        <is>
          <t>VAT - Output</t>
        </is>
      </c>
      <c r="E70" s="286" t="inlineStr">
        <is>
          <t>VAT on Fees due to 9PSB</t>
        </is>
      </c>
      <c r="F70" s="743" t="inlineStr">
        <is>
          <t>IF (Silver Agent = N1.12)
IF (Gold Agent = N0.98)
IF (Platinum Agent = N0.84)</t>
        </is>
      </c>
    </row>
    <row r="74" ht="14" customHeight="1" s="581" thickBot="1">
      <c r="A74" s="354" t="inlineStr">
        <is>
          <t>Scenario 2</t>
        </is>
      </c>
      <c r="B74" s="354" t="inlineStr">
        <is>
          <t>Where</t>
        </is>
      </c>
      <c r="C74" s="354" t="inlineStr">
        <is>
          <t>Amount : N10,000 &amp; Above</t>
        </is>
      </c>
    </row>
    <row r="75" ht="14" customHeight="1" s="581" thickBot="1">
      <c r="B75" s="579" t="inlineStr">
        <is>
          <t>On Elkanah Platform</t>
        </is>
      </c>
      <c r="C75" s="573" t="n"/>
      <c r="D75" s="573" t="n"/>
      <c r="E75" s="573" t="n"/>
      <c r="F75" s="574" t="n"/>
    </row>
    <row r="76" ht="14" customFormat="1" customHeight="1" s="2" thickBot="1">
      <c r="B76" s="94" t="inlineStr">
        <is>
          <t>Type</t>
        </is>
      </c>
      <c r="C76" s="95" t="inlineStr">
        <is>
          <t>Account Number</t>
        </is>
      </c>
      <c r="D76" s="95" t="inlineStr">
        <is>
          <t>Name</t>
        </is>
      </c>
      <c r="E76" s="95" t="inlineStr">
        <is>
          <t>Amount</t>
        </is>
      </c>
      <c r="F76" s="96" t="inlineStr">
        <is>
          <t>Value</t>
        </is>
      </c>
    </row>
    <row r="77">
      <c r="B77" s="98" t="inlineStr">
        <is>
          <t>DR</t>
        </is>
      </c>
      <c r="C77" s="83" t="inlineStr">
        <is>
          <t xml:space="preserve">YYYYYYYYYY  </t>
        </is>
      </c>
      <c r="D77" s="83" t="inlineStr">
        <is>
          <t>Agent's Wallet</t>
        </is>
      </c>
      <c r="E77" s="83" t="inlineStr">
        <is>
          <t>Tranx Amt + Total Fees + VAT</t>
        </is>
      </c>
      <c r="F77" s="192" t="inlineStr">
        <is>
          <t>Nxxx + N20.00</t>
        </is>
      </c>
    </row>
    <row r="78" ht="40.5" customHeight="1" s="581">
      <c r="B78" s="85" t="inlineStr">
        <is>
          <t>CR</t>
        </is>
      </c>
      <c r="C78" s="81" t="inlineStr">
        <is>
          <t>EEEEEEEE</t>
        </is>
      </c>
      <c r="D78" s="124" t="inlineStr">
        <is>
          <t>Elkanah's Wallet Suspense Account</t>
        </is>
      </c>
      <c r="E78" s="124" t="inlineStr">
        <is>
          <t>Tranx Amt</t>
        </is>
      </c>
      <c r="F78" s="741" t="inlineStr">
        <is>
          <t>IF (Silver Agent = Nxxx + N16.00)
IF (Gold Agent = Nxxx + N14.00)
IF (Platinum Agent = Nxxx + N12.00)</t>
        </is>
      </c>
    </row>
    <row r="79">
      <c r="B79" s="85" t="inlineStr">
        <is>
          <t>CR</t>
        </is>
      </c>
      <c r="C79" s="81" t="inlineStr">
        <is>
          <t>SLPSLPSLP</t>
        </is>
      </c>
      <c r="D79" s="81" t="inlineStr">
        <is>
          <t>SLP Commission Wallet</t>
        </is>
      </c>
      <c r="E79" s="81" t="inlineStr">
        <is>
          <t>Comm. Due to SLP (where applicable)</t>
        </is>
      </c>
      <c r="F79" s="744" t="n">
        <v>4</v>
      </c>
      <c r="G79" s="733" t="n"/>
    </row>
    <row r="80" ht="40.5" customHeight="1" s="581">
      <c r="B80" s="91" t="inlineStr">
        <is>
          <t>CR</t>
        </is>
      </c>
      <c r="C80" s="92" t="inlineStr">
        <is>
          <t>AAAAAAAAA</t>
        </is>
      </c>
      <c r="D80" s="92" t="inlineStr">
        <is>
          <t>Agent Commission Wallet</t>
        </is>
      </c>
      <c r="E80" s="92" t="inlineStr">
        <is>
          <t>Cashback on cashout fee (where applicable)</t>
        </is>
      </c>
      <c r="F80" s="741" t="inlineStr">
        <is>
          <t>IF (Silver Agent, cashback = 0)
IF (Gold Agent, cashback = (N2.00)
IF (Platinum Agent, cashback = (N4.00)</t>
        </is>
      </c>
      <c r="G80" s="733" t="n"/>
    </row>
    <row r="81">
      <c r="B81" s="91" t="inlineStr">
        <is>
          <t>DR</t>
        </is>
      </c>
      <c r="C81" s="92" t="inlineStr">
        <is>
          <t xml:space="preserve">YYYYYYYYYY  </t>
        </is>
      </c>
      <c r="D81" s="92" t="inlineStr">
        <is>
          <t>Agent's Wallet</t>
        </is>
      </c>
      <c r="E81" s="92" t="inlineStr">
        <is>
          <t xml:space="preserve">Stamp Duty Charge   </t>
        </is>
      </c>
      <c r="F81" s="745" t="n">
        <v>50</v>
      </c>
      <c r="G81" s="733" t="n"/>
    </row>
    <row r="82" ht="14" customHeight="1" s="581" thickBot="1">
      <c r="B82" s="101" t="inlineStr">
        <is>
          <t>CR</t>
        </is>
      </c>
      <c r="C82" s="102" t="inlineStr">
        <is>
          <t>EEEEEEEE</t>
        </is>
      </c>
      <c r="D82" s="102" t="inlineStr">
        <is>
          <t>Elkanah's Wallet Suspense Account</t>
        </is>
      </c>
      <c r="E82" s="89" t="inlineStr">
        <is>
          <t>Stamp Duty Charge</t>
        </is>
      </c>
      <c r="F82" s="746" t="n">
        <v>50</v>
      </c>
      <c r="G82" s="733" t="n"/>
    </row>
    <row r="83">
      <c r="B83" s="163" t="inlineStr">
        <is>
          <t>Note: SLPSLPSLP is a varying SLP commission wallets on Elkanah. This is the wallet of the SLP which the transacting Agent's Main Wallet is mapped to. Where an Agent has no SLP, the commission is credited to the Bank</t>
        </is>
      </c>
      <c r="I83" s="731" t="n"/>
    </row>
    <row r="85" ht="14" customHeight="1" s="581" thickBot="1">
      <c r="B85" s="594" t="inlineStr">
        <is>
          <t>On the Core Banking System</t>
        </is>
      </c>
      <c r="C85" s="570" t="n"/>
      <c r="D85" s="570" t="n"/>
    </row>
    <row r="86" ht="14" customFormat="1" customHeight="1" s="2" thickBot="1">
      <c r="B86" s="94" t="inlineStr">
        <is>
          <t>Type</t>
        </is>
      </c>
      <c r="C86" s="95" t="inlineStr">
        <is>
          <t>Account Number</t>
        </is>
      </c>
      <c r="D86" s="95" t="inlineStr">
        <is>
          <t>Name</t>
        </is>
      </c>
      <c r="E86" s="95" t="inlineStr">
        <is>
          <t>Amount</t>
        </is>
      </c>
      <c r="F86" s="96" t="inlineStr">
        <is>
          <t>Value</t>
        </is>
      </c>
    </row>
    <row r="87">
      <c r="B87" s="98" t="inlineStr">
        <is>
          <t>DR</t>
        </is>
      </c>
      <c r="C87" s="108" t="n">
        <v>10120004</v>
      </c>
      <c r="D87" s="83" t="inlineStr">
        <is>
          <t>Float Account - Agent Banking</t>
        </is>
      </c>
      <c r="E87" s="83" t="inlineStr">
        <is>
          <t xml:space="preserve">Tranx Amt </t>
        </is>
      </c>
      <c r="F87" s="747" t="inlineStr">
        <is>
          <t>Nxxx + N70.00</t>
        </is>
      </c>
    </row>
    <row r="88">
      <c r="B88" s="85" t="inlineStr">
        <is>
          <t>CR</t>
        </is>
      </c>
      <c r="C88" s="156" t="n">
        <v>20070043</v>
      </c>
      <c r="D88" s="92" t="inlineStr">
        <is>
          <t>ELECTRONIC MONEY TRANSFER LEVY (STAMP DUTY)</t>
        </is>
      </c>
      <c r="E88" s="92" t="inlineStr">
        <is>
          <t xml:space="preserve">Stamp Duty Charge </t>
        </is>
      </c>
      <c r="F88" s="748" t="n">
        <v>50</v>
      </c>
    </row>
    <row r="89" ht="40.5" customHeight="1" s="581">
      <c r="B89" s="85" t="inlineStr">
        <is>
          <t>CR</t>
        </is>
      </c>
      <c r="C89" s="82" t="n">
        <v>20070068</v>
      </c>
      <c r="D89" s="123" t="inlineStr">
        <is>
          <t>Commission_Cashback Payable For Bank9ja Business</t>
        </is>
      </c>
      <c r="E89" s="123" t="inlineStr">
        <is>
          <t>Cashback Amount</t>
        </is>
      </c>
      <c r="F89" s="741" t="inlineStr">
        <is>
          <t>IF (Silver Agent = N4.00)
IF (Gold Agent = (N6.00)
IF (Platinum Agent (N8.00)</t>
        </is>
      </c>
      <c r="G89" s="733" t="n"/>
    </row>
    <row r="90">
      <c r="B90" s="91" t="inlineStr">
        <is>
          <t>CR</t>
        </is>
      </c>
      <c r="C90" s="156" t="inlineStr">
        <is>
          <t>XXXXXXXXXX</t>
        </is>
      </c>
      <c r="D90" s="92" t="inlineStr">
        <is>
          <t>Beneficiary's Account in 9PSB</t>
        </is>
      </c>
      <c r="E90" s="92" t="inlineStr">
        <is>
          <t>Tranx Amt</t>
        </is>
      </c>
      <c r="F90" s="355" t="inlineStr">
        <is>
          <t>Nxxx</t>
        </is>
      </c>
    </row>
    <row r="91" ht="40.5" customFormat="1" customHeight="1" s="281">
      <c r="B91" s="279" t="inlineStr">
        <is>
          <t>CR</t>
        </is>
      </c>
      <c r="C91" s="282" t="n">
        <v>40060022</v>
      </c>
      <c r="D91" s="283" t="inlineStr">
        <is>
          <t>Revenue from Cashin - Agent</t>
        </is>
      </c>
      <c r="E91" s="283" t="inlineStr">
        <is>
          <t>Fees due to 9PSB</t>
        </is>
      </c>
      <c r="F91" s="741" t="inlineStr">
        <is>
          <t>IF (Silver Agent = N14.88)
IF (Gold Agent = (N13.02)
IF (Platinum Agent (N11.16)</t>
        </is>
      </c>
    </row>
    <row r="92" ht="41" customFormat="1" customHeight="1" s="281" thickBot="1">
      <c r="B92" s="284" t="inlineStr">
        <is>
          <t>CR</t>
        </is>
      </c>
      <c r="C92" s="285" t="n">
        <v>20070049</v>
      </c>
      <c r="D92" s="286" t="inlineStr">
        <is>
          <t>VAT - Output</t>
        </is>
      </c>
      <c r="E92" s="286" t="inlineStr">
        <is>
          <t>VAT on Fees due to 9PSB</t>
        </is>
      </c>
      <c r="F92" s="743" t="inlineStr">
        <is>
          <t>IF (Silver Agent = N1.12)
IF (Gold Agent = N0.98)
IF (Platinum Agent = N0.84)</t>
        </is>
      </c>
    </row>
    <row r="93" customFormat="1" s="281">
      <c r="C93" s="356" t="n"/>
      <c r="F93" s="749" t="n"/>
    </row>
    <row r="94" customFormat="1" s="281">
      <c r="C94" s="356" t="n"/>
      <c r="F94" s="749" t="n"/>
    </row>
    <row r="96" ht="14" customHeight="1" s="581" thickBot="1">
      <c r="A96" s="142" t="n"/>
      <c r="B96" s="689" t="inlineStr">
        <is>
          <t>Agent classification based on transaction volume (count)</t>
        </is>
      </c>
      <c r="C96" s="666" t="n"/>
      <c r="D96" s="665" t="n"/>
      <c r="E96" s="666" t="n"/>
      <c r="J96" s="661" t="n"/>
    </row>
    <row r="97">
      <c r="A97" s="142" t="n"/>
      <c r="B97" s="750" t="inlineStr">
        <is>
          <t>Category</t>
        </is>
      </c>
      <c r="C97" s="751" t="inlineStr">
        <is>
          <t>Transfer Charge</t>
        </is>
      </c>
      <c r="D97" s="752" t="inlineStr">
        <is>
          <t>Remarks</t>
        </is>
      </c>
      <c r="I97" s="661" t="n"/>
    </row>
    <row r="98">
      <c r="A98" s="142" t="n"/>
      <c r="B98" s="679" t="inlineStr">
        <is>
          <t xml:space="preserve">Silver </t>
        </is>
      </c>
      <c r="C98" s="460" t="n">
        <v>20</v>
      </c>
      <c r="D98" s="683" t="inlineStr">
        <is>
          <t>No Cashback</t>
        </is>
      </c>
      <c r="I98" s="661" t="n"/>
    </row>
    <row r="99">
      <c r="A99" s="142" t="n"/>
      <c r="B99" s="679" t="inlineStr">
        <is>
          <t xml:space="preserve">Gold </t>
        </is>
      </c>
      <c r="C99" s="460" t="n">
        <v>20</v>
      </c>
      <c r="D99" s="683" t="inlineStr">
        <is>
          <t>10% Cashback on Fees</t>
        </is>
      </c>
      <c r="E99" s="658" t="n"/>
      <c r="I99" s="661" t="n"/>
    </row>
    <row r="100" ht="14" customHeight="1" s="581" thickBot="1">
      <c r="A100" s="142" t="n"/>
      <c r="B100" s="684" t="inlineStr">
        <is>
          <t xml:space="preserve">Platinum </t>
        </is>
      </c>
      <c r="C100" s="466" t="n">
        <v>20</v>
      </c>
      <c r="D100" s="688" t="inlineStr">
        <is>
          <t>20% Cashback on Fees</t>
        </is>
      </c>
      <c r="I100" s="661" t="n"/>
    </row>
    <row r="101">
      <c r="A101" s="142" t="n"/>
      <c r="B101" s="689" t="n"/>
      <c r="C101" s="511" t="n"/>
      <c r="D101" s="666" t="n"/>
      <c r="I101" s="661" t="n"/>
    </row>
    <row r="102">
      <c r="A102" s="142" t="n"/>
      <c r="B102" s="689" t="n"/>
      <c r="C102" s="511" t="n"/>
      <c r="D102" s="666" t="n"/>
      <c r="I102" s="661" t="n"/>
    </row>
    <row r="103">
      <c r="B103" s="593" t="inlineStr">
        <is>
          <t>Scenario 2 : Where the destination Account/Wallet is in other Bank</t>
        </is>
      </c>
    </row>
    <row r="105" ht="14" customHeight="1" s="581" thickBot="1">
      <c r="A105" s="354" t="inlineStr">
        <is>
          <t>Scenario 1</t>
        </is>
      </c>
      <c r="B105" s="354" t="inlineStr">
        <is>
          <t>Where</t>
        </is>
      </c>
      <c r="C105" s="354" t="inlineStr">
        <is>
          <t>Amount : N1 - N9,999</t>
        </is>
      </c>
    </row>
    <row r="106" ht="14" customHeight="1" s="581" thickBot="1">
      <c r="B106" s="579" t="inlineStr">
        <is>
          <t>On Elkanah Platform</t>
        </is>
      </c>
      <c r="C106" s="573" t="n"/>
      <c r="D106" s="573" t="n"/>
      <c r="E106" s="573" t="n"/>
      <c r="F106" s="574" t="n"/>
    </row>
    <row r="107" ht="14" customFormat="1" customHeight="1" s="2" thickBot="1">
      <c r="B107" s="94" t="inlineStr">
        <is>
          <t>Type</t>
        </is>
      </c>
      <c r="C107" s="95" t="inlineStr">
        <is>
          <t>Account Number</t>
        </is>
      </c>
      <c r="D107" s="95" t="inlineStr">
        <is>
          <t>Name</t>
        </is>
      </c>
      <c r="E107" s="95" t="inlineStr">
        <is>
          <t>Amount</t>
        </is>
      </c>
      <c r="F107" s="96" t="inlineStr">
        <is>
          <t>Value</t>
        </is>
      </c>
    </row>
    <row r="108">
      <c r="B108" s="98" t="inlineStr">
        <is>
          <t>DR</t>
        </is>
      </c>
      <c r="C108" s="83" t="inlineStr">
        <is>
          <t xml:space="preserve">YYYYYYYYYY  </t>
        </is>
      </c>
      <c r="D108" s="83" t="inlineStr">
        <is>
          <t>Agent's Wallet</t>
        </is>
      </c>
      <c r="E108" s="83" t="inlineStr">
        <is>
          <t>Tranx Amt + Total Fees + VAT</t>
        </is>
      </c>
      <c r="F108" s="192" t="inlineStr">
        <is>
          <t>Nxxx + N20.00</t>
        </is>
      </c>
    </row>
    <row r="109" ht="40.5" customHeight="1" s="581">
      <c r="B109" s="85" t="inlineStr">
        <is>
          <t>CR</t>
        </is>
      </c>
      <c r="C109" s="81" t="inlineStr">
        <is>
          <t>EEEEEEEE</t>
        </is>
      </c>
      <c r="D109" s="124" t="inlineStr">
        <is>
          <t>Elkanah's Wallet Suspense Account</t>
        </is>
      </c>
      <c r="E109" s="124" t="inlineStr">
        <is>
          <t>Tranx Amt</t>
        </is>
      </c>
      <c r="F109" s="741" t="inlineStr">
        <is>
          <t>IF (Silver Agent = Nxxx + N16.00)
IF (Gold Agent = Nxxx + N14.00)
IF (Platinum Agent = Nxxx + N12.00)</t>
        </is>
      </c>
    </row>
    <row r="110">
      <c r="B110" s="91" t="inlineStr">
        <is>
          <t>CR</t>
        </is>
      </c>
      <c r="C110" s="92" t="inlineStr">
        <is>
          <t>SLPSLPSLP</t>
        </is>
      </c>
      <c r="D110" s="92" t="inlineStr">
        <is>
          <t>SLP Commission Wallet</t>
        </is>
      </c>
      <c r="E110" s="81" t="inlineStr">
        <is>
          <t>Comm. Due to SLP (where applicable)</t>
        </is>
      </c>
      <c r="F110" s="753" t="n">
        <v>4</v>
      </c>
      <c r="G110" s="733" t="n"/>
    </row>
    <row r="111" ht="41" customHeight="1" s="581" thickBot="1">
      <c r="B111" s="101" t="inlineStr">
        <is>
          <t>CR</t>
        </is>
      </c>
      <c r="C111" s="102" t="inlineStr">
        <is>
          <t>AAAAAAAAA</t>
        </is>
      </c>
      <c r="D111" s="102" t="inlineStr">
        <is>
          <t>Agent Commission Wallet</t>
        </is>
      </c>
      <c r="E111" s="102" t="inlineStr">
        <is>
          <t>Cashback on cashout fee (where applicable)</t>
        </is>
      </c>
      <c r="F111" s="743" t="inlineStr">
        <is>
          <t>IF (Silver Agent, cashback = 0)
IF (Gold Agent, cashback = (N2.00)
IF (Platinum Agent, cashback = (N4.00)</t>
        </is>
      </c>
      <c r="G111" s="733" t="n"/>
    </row>
    <row r="112">
      <c r="B112" s="163" t="inlineStr">
        <is>
          <t>Note: SLPSLPSLP is a varying SLP commission wallets on Elkanah. This is the wallet of the SLP which the transacting Agent's Main Wallet is mapped to. Where an Agent has no SLP the commission is credited to the Bank</t>
        </is>
      </c>
      <c r="I112" s="731" t="n"/>
    </row>
    <row r="114" ht="14" customHeight="1" s="581" thickBot="1">
      <c r="B114" s="594" t="inlineStr">
        <is>
          <t>On the Core Banking System</t>
        </is>
      </c>
      <c r="C114" s="570" t="n"/>
      <c r="D114" s="570" t="n"/>
    </row>
    <row r="115" ht="14" customFormat="1" customHeight="1" s="2" thickBot="1">
      <c r="B115" s="105" t="inlineStr">
        <is>
          <t>Type</t>
        </is>
      </c>
      <c r="C115" s="106" t="inlineStr">
        <is>
          <t>Account Number</t>
        </is>
      </c>
      <c r="D115" s="106" t="inlineStr">
        <is>
          <t>Name</t>
        </is>
      </c>
      <c r="E115" s="106" t="inlineStr">
        <is>
          <t>Amount</t>
        </is>
      </c>
      <c r="F115" s="107" t="inlineStr">
        <is>
          <t>Value</t>
        </is>
      </c>
    </row>
    <row r="116">
      <c r="B116" s="98" t="inlineStr">
        <is>
          <t>DR</t>
        </is>
      </c>
      <c r="C116" s="108" t="n">
        <v>10120004</v>
      </c>
      <c r="D116" s="83" t="inlineStr">
        <is>
          <t>Float Account - Agent Banking</t>
        </is>
      </c>
      <c r="E116" s="83" t="inlineStr">
        <is>
          <t>Tranx Amt + Total Fees + VAT</t>
        </is>
      </c>
      <c r="F116" s="192" t="inlineStr">
        <is>
          <t>Nxxx + N20.00</t>
        </is>
      </c>
    </row>
    <row r="117">
      <c r="B117" s="85" t="inlineStr">
        <is>
          <t>CR</t>
        </is>
      </c>
      <c r="C117" s="156" t="inlineStr">
        <is>
          <t>XXXXXXXXXX</t>
        </is>
      </c>
      <c r="D117" s="92" t="inlineStr">
        <is>
          <t>Beneficiary's Account in 9PSB</t>
        </is>
      </c>
      <c r="E117" s="92" t="inlineStr">
        <is>
          <t>Tranx Amt</t>
        </is>
      </c>
      <c r="F117" s="195" t="inlineStr">
        <is>
          <t>Nxxx</t>
        </is>
      </c>
    </row>
    <row r="118" ht="40.5" customHeight="1" s="581">
      <c r="B118" s="85" t="inlineStr">
        <is>
          <t>CR</t>
        </is>
      </c>
      <c r="C118" s="82" t="n">
        <v>20070068</v>
      </c>
      <c r="D118" s="123" t="inlineStr">
        <is>
          <t>Commission_Cashback Payable For Bank9ja Business</t>
        </is>
      </c>
      <c r="E118" s="123" t="inlineStr">
        <is>
          <t>Cashback Amount</t>
        </is>
      </c>
      <c r="F118" s="741" t="inlineStr">
        <is>
          <t>IF (Silver Agent = N4.00)
IF (Gold Agent = (N6.00)
IF (Platinum Agent (N8.00)</t>
        </is>
      </c>
      <c r="G118" s="658" t="n"/>
    </row>
    <row r="119">
      <c r="B119" s="85" t="inlineStr">
        <is>
          <t>CR</t>
        </is>
      </c>
      <c r="C119" s="156" t="n">
        <v>20070026</v>
      </c>
      <c r="D119" s="92" t="inlineStr">
        <is>
          <t>NIBSS Fees Transactions</t>
        </is>
      </c>
      <c r="E119" s="92" t="inlineStr">
        <is>
          <t>NIP Switching Cost</t>
        </is>
      </c>
      <c r="F119" s="741" t="n">
        <v>2.15</v>
      </c>
      <c r="G119" s="658" t="n"/>
    </row>
    <row r="120" ht="40.5" customFormat="1" customHeight="1" s="281">
      <c r="B120" s="279" t="inlineStr">
        <is>
          <t>CR</t>
        </is>
      </c>
      <c r="C120" s="282" t="n">
        <v>40060022</v>
      </c>
      <c r="D120" s="283" t="inlineStr">
        <is>
          <t>Revenue from Cashin - Agent</t>
        </is>
      </c>
      <c r="E120" s="283" t="inlineStr">
        <is>
          <t>Fees due to 9PSB</t>
        </is>
      </c>
      <c r="F120" s="741" t="inlineStr">
        <is>
          <t>IF (Silver Agent = N12.88)
IF (Gold Agent = (N11.02)
IF (Platinum Agent (N9.16)</t>
        </is>
      </c>
      <c r="H120" s="754" t="n"/>
    </row>
    <row r="121" ht="41" customFormat="1" customHeight="1" s="281" thickBot="1">
      <c r="B121" s="284" t="inlineStr">
        <is>
          <t>CR</t>
        </is>
      </c>
      <c r="C121" s="285" t="n">
        <v>20070049</v>
      </c>
      <c r="D121" s="286" t="inlineStr">
        <is>
          <t>VAT - Output</t>
        </is>
      </c>
      <c r="E121" s="286" t="inlineStr">
        <is>
          <t>VAT on Fees due to 9PSB</t>
        </is>
      </c>
      <c r="F121" s="743" t="inlineStr">
        <is>
          <t>IF (Silver Agent = N0.97)
IF (Gold Agent = N0.83)
IF (Platinum Agent = N0.69)</t>
        </is>
      </c>
    </row>
    <row r="125" ht="14" customHeight="1" s="581" thickBot="1">
      <c r="A125" s="354" t="inlineStr">
        <is>
          <t>Scenario 2</t>
        </is>
      </c>
      <c r="B125" s="354" t="inlineStr">
        <is>
          <t>Where</t>
        </is>
      </c>
      <c r="C125" s="354" t="inlineStr">
        <is>
          <t>Amount : N10,000 &amp; Above</t>
        </is>
      </c>
    </row>
    <row r="126" ht="14" customHeight="1" s="581" thickBot="1">
      <c r="B126" s="579" t="inlineStr">
        <is>
          <t>On Elkanah Platform</t>
        </is>
      </c>
      <c r="C126" s="573" t="n"/>
      <c r="D126" s="573" t="n"/>
      <c r="E126" s="573" t="n"/>
      <c r="F126" s="574" t="n"/>
    </row>
    <row r="127" ht="14" customFormat="1" customHeight="1" s="2" thickBot="1">
      <c r="B127" s="94" t="inlineStr">
        <is>
          <t>Type</t>
        </is>
      </c>
      <c r="C127" s="95" t="inlineStr">
        <is>
          <t>Account Number</t>
        </is>
      </c>
      <c r="D127" s="95" t="inlineStr">
        <is>
          <t>Name</t>
        </is>
      </c>
      <c r="E127" s="95" t="inlineStr">
        <is>
          <t>Amount</t>
        </is>
      </c>
      <c r="F127" s="96" t="inlineStr">
        <is>
          <t>Value</t>
        </is>
      </c>
    </row>
    <row r="128">
      <c r="B128" s="98" t="inlineStr">
        <is>
          <t>DR</t>
        </is>
      </c>
      <c r="C128" s="83" t="inlineStr">
        <is>
          <t xml:space="preserve">YYYYYYYYYY  </t>
        </is>
      </c>
      <c r="D128" s="83" t="inlineStr">
        <is>
          <t>Agent's Wallet</t>
        </is>
      </c>
      <c r="E128" s="83" t="inlineStr">
        <is>
          <t>Tranx Amt + Total Fees + VAT</t>
        </is>
      </c>
      <c r="F128" s="192" t="inlineStr">
        <is>
          <t>Nxxx + N20.00</t>
        </is>
      </c>
    </row>
    <row r="129" ht="40.5" customHeight="1" s="581">
      <c r="B129" s="85" t="inlineStr">
        <is>
          <t>CR</t>
        </is>
      </c>
      <c r="C129" s="81" t="inlineStr">
        <is>
          <t>EEEEEEEE</t>
        </is>
      </c>
      <c r="D129" s="124" t="inlineStr">
        <is>
          <t>Elkanah's Wallet Suspense Account</t>
        </is>
      </c>
      <c r="E129" s="124" t="inlineStr">
        <is>
          <t>Tranx Amt</t>
        </is>
      </c>
      <c r="F129" s="741" t="inlineStr">
        <is>
          <t>IF (Silver Agent = Nxxx + N16.00)
IF (Gold Agent = Nxxx + N14.00)
IF (Platinum Agent = Nxxx + N12.00)</t>
        </is>
      </c>
    </row>
    <row r="130">
      <c r="B130" s="91" t="inlineStr">
        <is>
          <t>CR</t>
        </is>
      </c>
      <c r="C130" s="92" t="inlineStr">
        <is>
          <t>SLPSLPSLP</t>
        </is>
      </c>
      <c r="D130" s="92" t="inlineStr">
        <is>
          <t>SLP Commission Wallet</t>
        </is>
      </c>
      <c r="E130" s="81" t="inlineStr">
        <is>
          <t>Comm. Due to SLP (where applicable)</t>
        </is>
      </c>
      <c r="F130" s="753" t="n">
        <v>4</v>
      </c>
      <c r="G130" s="733" t="n"/>
    </row>
    <row r="131" ht="40.5" customHeight="1" s="581">
      <c r="B131" s="85" t="inlineStr">
        <is>
          <t>CR</t>
        </is>
      </c>
      <c r="C131" s="81" t="inlineStr">
        <is>
          <t>AAAAAAAAA</t>
        </is>
      </c>
      <c r="D131" s="81" t="inlineStr">
        <is>
          <t>Agent Commission Wallet</t>
        </is>
      </c>
      <c r="E131" s="81" t="inlineStr">
        <is>
          <t>Cashback on cashout fee (where applicable)</t>
        </is>
      </c>
      <c r="F131" s="755" t="inlineStr">
        <is>
          <t>IF (Silver Agent, cashback = 0)
IF (Gold Agent, cashback = (N2.00)
IF (Platinum Agent, cashback = (N4.00)</t>
        </is>
      </c>
      <c r="G131" s="733" t="n"/>
    </row>
    <row r="132">
      <c r="B132" s="91" t="inlineStr">
        <is>
          <t>DR</t>
        </is>
      </c>
      <c r="C132" s="92" t="inlineStr">
        <is>
          <t xml:space="preserve">YYYYYYYYYY  </t>
        </is>
      </c>
      <c r="D132" s="92" t="inlineStr">
        <is>
          <t>Agent's Wallet</t>
        </is>
      </c>
      <c r="E132" s="92" t="inlineStr">
        <is>
          <t xml:space="preserve">Stamp Duty Charge   </t>
        </is>
      </c>
      <c r="F132" s="745" t="n">
        <v>50</v>
      </c>
      <c r="G132" s="733" t="n"/>
    </row>
    <row r="133" ht="14" customHeight="1" s="581" thickBot="1">
      <c r="B133" s="101" t="inlineStr">
        <is>
          <t>CR</t>
        </is>
      </c>
      <c r="C133" s="102" t="inlineStr">
        <is>
          <t>EEEEEEEE</t>
        </is>
      </c>
      <c r="D133" s="102" t="inlineStr">
        <is>
          <t>Elkanah's Wallet Suspense Account</t>
        </is>
      </c>
      <c r="E133" s="89" t="inlineStr">
        <is>
          <t>Stamp Duty Charge</t>
        </is>
      </c>
      <c r="F133" s="746" t="n">
        <v>50</v>
      </c>
      <c r="G133" s="733" t="n"/>
    </row>
    <row r="134">
      <c r="B134" s="163" t="inlineStr">
        <is>
          <t>Note: SLPSLPSLP is a varying SLP commission wallets on Elkanah. This is the wallet of the SLP which the transacting Agent's Main Wallet is mapped to. Where an Agent has no SLP the commission is credited to the Bank</t>
        </is>
      </c>
      <c r="I134" s="731" t="n"/>
    </row>
    <row r="136" ht="14" customHeight="1" s="581" thickBot="1">
      <c r="B136" s="592" t="inlineStr">
        <is>
          <t>On the Core Banking System</t>
        </is>
      </c>
    </row>
    <row r="137" ht="14" customFormat="1" customHeight="1" s="2" thickBot="1">
      <c r="B137" s="94" t="inlineStr">
        <is>
          <t>Type</t>
        </is>
      </c>
      <c r="C137" s="95" t="inlineStr">
        <is>
          <t>Account Number</t>
        </is>
      </c>
      <c r="D137" s="95" t="inlineStr">
        <is>
          <t>Name</t>
        </is>
      </c>
      <c r="E137" s="95" t="inlineStr">
        <is>
          <t>Amount</t>
        </is>
      </c>
      <c r="F137" s="96" t="inlineStr">
        <is>
          <t>Value</t>
        </is>
      </c>
    </row>
    <row r="138">
      <c r="B138" s="98" t="inlineStr">
        <is>
          <t>DR</t>
        </is>
      </c>
      <c r="C138" s="108" t="n">
        <v>10120004</v>
      </c>
      <c r="D138" s="83" t="inlineStr">
        <is>
          <t>Float Account - Agent Banking</t>
        </is>
      </c>
      <c r="E138" s="83" t="inlineStr">
        <is>
          <t xml:space="preserve">Tranx Amt </t>
        </is>
      </c>
      <c r="F138" s="747" t="inlineStr">
        <is>
          <t>Nxxx + N70.00</t>
        </is>
      </c>
    </row>
    <row r="139">
      <c r="B139" s="85" t="inlineStr">
        <is>
          <t>CR</t>
        </is>
      </c>
      <c r="C139" s="156" t="n">
        <v>20070043</v>
      </c>
      <c r="D139" s="92" t="inlineStr">
        <is>
          <t>ELECTRONIC MONEY TRANSFER LEVY (STAMP DUTY)</t>
        </is>
      </c>
      <c r="E139" s="92" t="inlineStr">
        <is>
          <t xml:space="preserve">Stamp Duty Charge </t>
        </is>
      </c>
      <c r="F139" s="748" t="n">
        <v>50</v>
      </c>
    </row>
    <row r="140">
      <c r="B140" s="85" t="inlineStr">
        <is>
          <t>CR</t>
        </is>
      </c>
      <c r="C140" s="156" t="n">
        <v>20070026</v>
      </c>
      <c r="D140" s="92" t="inlineStr">
        <is>
          <t>NIBSS Fees Transactions</t>
        </is>
      </c>
      <c r="E140" s="92" t="inlineStr">
        <is>
          <t>NIP Switching Cost</t>
        </is>
      </c>
      <c r="F140" s="741" t="n">
        <v>2.15</v>
      </c>
      <c r="G140" s="658" t="n"/>
    </row>
    <row r="141" ht="40.5" customHeight="1" s="581">
      <c r="B141" s="85" t="inlineStr">
        <is>
          <t>CR</t>
        </is>
      </c>
      <c r="C141" s="82" t="n">
        <v>20070068</v>
      </c>
      <c r="D141" s="123" t="inlineStr">
        <is>
          <t>Commission_Cashback Payable For Bank9ja Business</t>
        </is>
      </c>
      <c r="E141" s="123" t="inlineStr">
        <is>
          <t>Cashback Amount</t>
        </is>
      </c>
      <c r="F141" s="741" t="inlineStr">
        <is>
          <t>IF (Silver Agent = N4.00)
IF (Gold Agent = (N6.00)
IF (Platinum Agent (N8.00)</t>
        </is>
      </c>
      <c r="G141" s="733" t="n"/>
    </row>
    <row r="142">
      <c r="B142" s="91" t="inlineStr">
        <is>
          <t>CR</t>
        </is>
      </c>
      <c r="C142" s="156" t="inlineStr">
        <is>
          <t>XXXXXXXXXX</t>
        </is>
      </c>
      <c r="D142" s="92" t="inlineStr">
        <is>
          <t>Beneficiary's Account in 9PSB</t>
        </is>
      </c>
      <c r="E142" s="92" t="inlineStr">
        <is>
          <t>Tranx Amt</t>
        </is>
      </c>
      <c r="F142" s="355" t="inlineStr">
        <is>
          <t>Nxxx</t>
        </is>
      </c>
    </row>
    <row r="143" ht="40.5" customFormat="1" customHeight="1" s="281">
      <c r="B143" s="279" t="inlineStr">
        <is>
          <t>CR</t>
        </is>
      </c>
      <c r="C143" s="282" t="n">
        <v>40060022</v>
      </c>
      <c r="D143" s="283" t="inlineStr">
        <is>
          <t>Revenue from Cashin - Agent</t>
        </is>
      </c>
      <c r="E143" s="283" t="inlineStr">
        <is>
          <t>Fees due to 9PSB</t>
        </is>
      </c>
      <c r="F143" s="741" t="inlineStr">
        <is>
          <t>IF (Silver Agent = N12.88)
IF (Gold Agent = (N11.02)
IF (Platinum Agent (N9.16)</t>
        </is>
      </c>
    </row>
    <row r="144" ht="41" customFormat="1" customHeight="1" s="281" thickBot="1">
      <c r="B144" s="284" t="inlineStr">
        <is>
          <t>CR</t>
        </is>
      </c>
      <c r="C144" s="285" t="n">
        <v>20070049</v>
      </c>
      <c r="D144" s="286" t="inlineStr">
        <is>
          <t>VAT - Output</t>
        </is>
      </c>
      <c r="E144" s="286" t="inlineStr">
        <is>
          <t>VAT on Fees due to 9PSB</t>
        </is>
      </c>
      <c r="F144" s="743" t="inlineStr">
        <is>
          <t>IF (Silver Agent = N0.97)
IF (Gold Agent = N0.83)
IF (Platinum Agent = N0.69)</t>
        </is>
      </c>
    </row>
    <row r="145">
      <c r="B145" s="592" t="n"/>
      <c r="C145" s="592" t="n"/>
      <c r="D145" s="592" t="n"/>
    </row>
    <row r="146">
      <c r="B146" s="592" t="n"/>
      <c r="C146" s="592" t="n"/>
      <c r="D146" s="592" t="n"/>
    </row>
    <row r="147">
      <c r="B147" s="592" t="n"/>
      <c r="C147" s="592" t="n"/>
      <c r="D147" s="592" t="n"/>
    </row>
    <row r="148" ht="14" customHeight="1" s="581" thickBot="1">
      <c r="A148" s="142" t="n"/>
      <c r="B148" s="689" t="inlineStr">
        <is>
          <t>Agent classification based on transaction volume (count)</t>
        </is>
      </c>
      <c r="C148" s="666" t="n"/>
      <c r="D148" s="665" t="n"/>
      <c r="E148" s="666" t="n"/>
      <c r="J148" s="661" t="n"/>
    </row>
    <row r="149">
      <c r="A149" s="142" t="n"/>
      <c r="B149" s="750" t="inlineStr">
        <is>
          <t>Category</t>
        </is>
      </c>
      <c r="C149" s="751" t="inlineStr">
        <is>
          <t>Transfer Charge</t>
        </is>
      </c>
      <c r="D149" s="752" t="inlineStr">
        <is>
          <t>Remarks</t>
        </is>
      </c>
      <c r="I149" s="661" t="n"/>
    </row>
    <row r="150">
      <c r="A150" s="142" t="n"/>
      <c r="B150" s="679" t="inlineStr">
        <is>
          <t xml:space="preserve">Silver </t>
        </is>
      </c>
      <c r="C150" s="460" t="n">
        <v>20</v>
      </c>
      <c r="D150" s="683" t="inlineStr">
        <is>
          <t>No Cashback</t>
        </is>
      </c>
      <c r="I150" s="661" t="n"/>
    </row>
    <row r="151">
      <c r="A151" s="142" t="n"/>
      <c r="B151" s="679" t="inlineStr">
        <is>
          <t xml:space="preserve">Gold </t>
        </is>
      </c>
      <c r="C151" s="460" t="n">
        <v>20</v>
      </c>
      <c r="D151" s="683" t="inlineStr">
        <is>
          <t>10% Cashback on Fees</t>
        </is>
      </c>
      <c r="E151" s="658" t="n"/>
      <c r="I151" s="661" t="n"/>
    </row>
    <row r="152" ht="14" customHeight="1" s="581" thickBot="1">
      <c r="A152" s="142" t="n"/>
      <c r="B152" s="684" t="inlineStr">
        <is>
          <t xml:space="preserve">Platinum </t>
        </is>
      </c>
      <c r="C152" s="466" t="n">
        <v>20</v>
      </c>
      <c r="D152" s="688" t="inlineStr">
        <is>
          <t>20% Cashback on Fees</t>
        </is>
      </c>
      <c r="I152" s="661" t="n"/>
    </row>
    <row r="153" ht="14" customHeight="1" s="581" thickBot="1">
      <c r="A153" s="142" t="n"/>
      <c r="B153" s="689" t="n"/>
      <c r="C153" s="666" t="n"/>
      <c r="D153" s="665" t="n"/>
      <c r="E153" s="666" t="n"/>
      <c r="G153" s="258" t="n"/>
      <c r="J153" s="661" t="n"/>
    </row>
    <row r="154" customFormat="1" s="2">
      <c r="A154" s="143" t="n"/>
      <c r="B154" s="750" t="inlineStr">
        <is>
          <t>Where</t>
        </is>
      </c>
      <c r="C154" s="756" t="inlineStr">
        <is>
          <t>Card Withdrawal Tranx/Month</t>
        </is>
      </c>
      <c r="D154" s="738" t="n"/>
      <c r="E154" s="739" t="n"/>
      <c r="J154" s="660" t="n"/>
    </row>
    <row r="155">
      <c r="A155" s="142" t="n"/>
      <c r="B155" s="679" t="inlineStr">
        <is>
          <t xml:space="preserve">Silver </t>
        </is>
      </c>
      <c r="C155" s="757" t="inlineStr">
        <is>
          <t>1-199</t>
        </is>
      </c>
      <c r="D155" s="665" t="n"/>
      <c r="E155" s="666" t="n"/>
      <c r="J155" s="661" t="n"/>
    </row>
    <row r="156">
      <c r="A156" s="142" t="n"/>
      <c r="B156" s="679" t="inlineStr">
        <is>
          <t>Gold</t>
        </is>
      </c>
      <c r="C156" s="758" t="inlineStr">
        <is>
          <t>200-499</t>
        </is>
      </c>
      <c r="D156" s="665" t="n"/>
      <c r="E156" s="666" t="n"/>
      <c r="J156" s="661" t="n"/>
    </row>
    <row r="157" ht="14" customHeight="1" s="581" thickBot="1">
      <c r="A157" s="142" t="n"/>
      <c r="B157" s="684" t="inlineStr">
        <is>
          <t>Platinum</t>
        </is>
      </c>
      <c r="C157" s="759" t="inlineStr">
        <is>
          <t>500 &amp; above</t>
        </is>
      </c>
      <c r="D157" s="665" t="n"/>
      <c r="E157" s="666" t="n"/>
      <c r="J157" s="661" t="n"/>
    </row>
    <row r="158">
      <c r="A158" s="142" t="n"/>
      <c r="B158" s="689" t="n"/>
      <c r="C158" s="666" t="n"/>
      <c r="D158" s="665" t="n"/>
      <c r="E158" s="666" t="n"/>
      <c r="J158" s="661" t="n"/>
    </row>
    <row r="159" ht="48" customHeight="1" s="581">
      <c r="A159" s="142" t="n"/>
      <c r="B159" s="740" t="inlineStr">
        <is>
          <t>Notes: 
(a) This classification will be automatically updated at the end of each month
(b) Cashback will be instantly credited into the Agent's Commission wallet</t>
        </is>
      </c>
      <c r="F159" s="666" t="n"/>
    </row>
  </sheetData>
  <mergeCells count="21">
    <mergeCell ref="B126:F126"/>
    <mergeCell ref="B106:F106"/>
    <mergeCell ref="B75:F75"/>
    <mergeCell ref="B136:D136"/>
    <mergeCell ref="B1:D1"/>
    <mergeCell ref="B56:F56"/>
    <mergeCell ref="B103:D103"/>
    <mergeCell ref="B54:E54"/>
    <mergeCell ref="B23:F23"/>
    <mergeCell ref="B159:E159"/>
    <mergeCell ref="B46:E46"/>
    <mergeCell ref="B64:D64"/>
    <mergeCell ref="B114:D114"/>
    <mergeCell ref="B85:D85"/>
    <mergeCell ref="B10:F10"/>
    <mergeCell ref="B50:D50"/>
    <mergeCell ref="B3:D3"/>
    <mergeCell ref="B24:F24"/>
    <mergeCell ref="B5:F5"/>
    <mergeCell ref="B52:D52"/>
    <mergeCell ref="B21:D21"/>
  </mergeCells>
  <pageMargins left="0.7086614173228347" right="0.7086614173228347" top="0.7480314960629921" bottom="0.7480314960629921" header="0.3149606299212598" footer="0.3149606299212598"/>
  <pageSetup orientation="portrait" paperSize="9" scale="34"/>
</worksheet>
</file>

<file path=xl/worksheets/sheet12.xml><?xml version="1.0" encoding="utf-8"?>
<worksheet xmlns="http://schemas.openxmlformats.org/spreadsheetml/2006/main">
  <sheetPr>
    <tabColor rgb="FF00B0F0"/>
    <outlinePr summaryBelow="1" summaryRight="1"/>
    <pageSetUpPr fitToPage="1"/>
  </sheetPr>
  <dimension ref="B2:G25"/>
  <sheetViews>
    <sheetView zoomScaleNormal="100" workbookViewId="0">
      <selection activeCell="E8" sqref="E8"/>
    </sheetView>
  </sheetViews>
  <sheetFormatPr baseColWidth="8" defaultRowHeight="14.5"/>
  <cols>
    <col width="5.7265625" customWidth="1" style="581" min="1" max="1"/>
    <col width="5.81640625" bestFit="1" customWidth="1" style="581" min="2" max="2"/>
    <col width="18.1796875" bestFit="1" customWidth="1" style="581" min="3" max="3"/>
    <col width="36.26953125" customWidth="1" style="581" min="4" max="4"/>
    <col width="19.54296875" bestFit="1" customWidth="1" style="581" min="5" max="5"/>
    <col width="6.54296875" customWidth="1" style="581" min="6" max="6"/>
  </cols>
  <sheetData>
    <row r="2" ht="13.5" customFormat="1" customHeight="1" s="563">
      <c r="B2" s="580" t="inlineStr">
        <is>
          <t>TRANSACTION TYPE : AGENT WALLET FUNDING FROM AN ACCOUNT IN 9PSB</t>
        </is>
      </c>
    </row>
    <row r="3" ht="8.15" customHeight="1" s="581" thickBot="1"/>
    <row r="4" ht="15" customHeight="1" s="581" thickBot="1">
      <c r="B4" s="579" t="inlineStr">
        <is>
          <t>On Core Banking System</t>
        </is>
      </c>
      <c r="C4" s="573" t="n"/>
      <c r="D4" s="573" t="n"/>
      <c r="E4" s="573" t="n"/>
      <c r="F4" s="574" t="n"/>
    </row>
    <row r="5" ht="15" customHeight="1" s="581" thickBot="1">
      <c r="B5" s="94" t="inlineStr">
        <is>
          <t>Type</t>
        </is>
      </c>
      <c r="C5" s="95" t="inlineStr">
        <is>
          <t>Account Number</t>
        </is>
      </c>
      <c r="D5" s="95" t="inlineStr">
        <is>
          <t>Name</t>
        </is>
      </c>
      <c r="E5" s="95" t="inlineStr">
        <is>
          <t>Amount</t>
        </is>
      </c>
      <c r="F5" s="96" t="inlineStr">
        <is>
          <t>Value</t>
        </is>
      </c>
    </row>
    <row r="6">
      <c r="B6" s="91" t="inlineStr">
        <is>
          <t>DR</t>
        </is>
      </c>
      <c r="C6" s="92" t="inlineStr">
        <is>
          <t>XXXXXXXXXXX</t>
        </is>
      </c>
      <c r="D6" s="92" t="inlineStr">
        <is>
          <t>Customer's Name</t>
        </is>
      </c>
      <c r="E6" s="92" t="inlineStr">
        <is>
          <t>Tranx Amt</t>
        </is>
      </c>
      <c r="F6" s="93" t="inlineStr">
        <is>
          <t>Nxxx</t>
        </is>
      </c>
    </row>
    <row r="7" ht="15" customHeight="1" s="581" thickBot="1">
      <c r="B7" s="87" t="inlineStr">
        <is>
          <t>CR</t>
        </is>
      </c>
      <c r="C7" s="119" t="n">
        <v>10120004</v>
      </c>
      <c r="D7" s="89" t="inlineStr">
        <is>
          <t>Float Account - Agent Banking</t>
        </is>
      </c>
      <c r="E7" s="89" t="inlineStr">
        <is>
          <t>Tranx Amt</t>
        </is>
      </c>
      <c r="F7" s="90" t="inlineStr">
        <is>
          <t>Nxxx</t>
        </is>
      </c>
    </row>
    <row r="9" hidden="1" ht="15" customHeight="1" s="581" thickBot="1">
      <c r="B9" s="579" t="inlineStr">
        <is>
          <t>On the NEW Agent Banking System</t>
        </is>
      </c>
      <c r="C9" s="573" t="n"/>
      <c r="D9" s="573" t="n"/>
      <c r="E9" s="573" t="n"/>
      <c r="F9" s="574" t="n"/>
    </row>
    <row r="10" hidden="1" ht="15" customHeight="1" s="581" thickBot="1">
      <c r="B10" s="94" t="inlineStr">
        <is>
          <t>Type</t>
        </is>
      </c>
      <c r="C10" s="95" t="inlineStr">
        <is>
          <t>Account Number</t>
        </is>
      </c>
      <c r="D10" s="95" t="inlineStr">
        <is>
          <t>Name</t>
        </is>
      </c>
      <c r="E10" s="95" t="inlineStr">
        <is>
          <t>Amount</t>
        </is>
      </c>
      <c r="F10" s="96" t="inlineStr">
        <is>
          <t>Value</t>
        </is>
      </c>
    </row>
    <row r="11" hidden="1" s="581">
      <c r="B11" s="91" t="inlineStr">
        <is>
          <t>DR</t>
        </is>
      </c>
      <c r="C11" s="92" t="inlineStr">
        <is>
          <t>CCCCCCCCCCC</t>
        </is>
      </c>
      <c r="D11" s="92" t="inlineStr">
        <is>
          <t>CEVA Wallet Suspense Account</t>
        </is>
      </c>
      <c r="E11" s="92" t="inlineStr">
        <is>
          <t>Tranx Amt</t>
        </is>
      </c>
      <c r="F11" s="93" t="inlineStr">
        <is>
          <t>Nxxx</t>
        </is>
      </c>
    </row>
    <row r="12" hidden="1" ht="15" customHeight="1" s="581" thickBot="1">
      <c r="B12" s="87" t="inlineStr">
        <is>
          <t>CR</t>
        </is>
      </c>
      <c r="C12" s="89" t="inlineStr">
        <is>
          <t>YYYYYYYYYY</t>
        </is>
      </c>
      <c r="D12" s="89" t="inlineStr">
        <is>
          <t xml:space="preserve">Agent's Main Wallet </t>
        </is>
      </c>
      <c r="E12" s="89" t="inlineStr">
        <is>
          <t>Tranx Amt</t>
        </is>
      </c>
      <c r="F12" s="90" t="inlineStr">
        <is>
          <t>Nxxx</t>
        </is>
      </c>
    </row>
    <row r="13" hidden="1" s="581"/>
    <row r="14" hidden="1" s="581"/>
    <row r="15" hidden="1" ht="13.5" customFormat="1" customHeight="1" s="563">
      <c r="B15" s="595" t="inlineStr">
        <is>
          <t xml:space="preserve">TRANSACTION TYPE : AGENT FUNDING OWN CORE BANKING ACCOUNT FROM OWN CEVA WALLET </t>
        </is>
      </c>
    </row>
    <row r="16" hidden="1" ht="8.15" customHeight="1" s="581" thickBot="1"/>
    <row r="17" hidden="1" ht="15" customHeight="1" s="581" thickBot="1">
      <c r="B17" s="579" t="inlineStr">
        <is>
          <t>On CEVA's Agent Banking System</t>
        </is>
      </c>
      <c r="C17" s="573" t="n"/>
      <c r="D17" s="573" t="n"/>
      <c r="E17" s="573" t="n"/>
      <c r="F17" s="574" t="n"/>
    </row>
    <row r="18" hidden="1" ht="15" customHeight="1" s="581" thickBot="1">
      <c r="B18" s="94" t="inlineStr">
        <is>
          <t>Type</t>
        </is>
      </c>
      <c r="C18" s="95" t="inlineStr">
        <is>
          <t>Account Number</t>
        </is>
      </c>
      <c r="D18" s="95" t="inlineStr">
        <is>
          <t>Name</t>
        </is>
      </c>
      <c r="E18" s="95" t="inlineStr">
        <is>
          <t>Amount</t>
        </is>
      </c>
      <c r="F18" s="96" t="inlineStr">
        <is>
          <t>Value</t>
        </is>
      </c>
    </row>
    <row r="19" hidden="1" ht="15" customHeight="1" s="581" thickBot="1">
      <c r="B19" s="98" t="inlineStr">
        <is>
          <t>DR</t>
        </is>
      </c>
      <c r="C19" s="89" t="inlineStr">
        <is>
          <t>YYYYYYYYYY</t>
        </is>
      </c>
      <c r="D19" s="83" t="inlineStr">
        <is>
          <t>Agent's Wallet</t>
        </is>
      </c>
      <c r="E19" s="83" t="inlineStr">
        <is>
          <t>Tranx Amt</t>
        </is>
      </c>
      <c r="F19" s="84" t="inlineStr">
        <is>
          <t>Nxxx</t>
        </is>
      </c>
    </row>
    <row r="20" hidden="1" ht="15" customHeight="1" s="581" thickBot="1">
      <c r="B20" s="101" t="inlineStr">
        <is>
          <t>CR</t>
        </is>
      </c>
      <c r="C20" s="102" t="inlineStr">
        <is>
          <t>CCCCCCCCCC</t>
        </is>
      </c>
      <c r="D20" s="102" t="inlineStr">
        <is>
          <t>CEVA Wallet Suspense Account</t>
        </is>
      </c>
      <c r="E20" s="102" t="inlineStr">
        <is>
          <t>Tranx Amt</t>
        </is>
      </c>
      <c r="F20" s="103" t="inlineStr">
        <is>
          <t>Nxxx</t>
        </is>
      </c>
    </row>
    <row r="21" ht="15" customHeight="1" s="581" thickBot="1"/>
    <row r="22" ht="15" customHeight="1" s="581" thickBot="1">
      <c r="B22" s="579" t="inlineStr">
        <is>
          <t>On Elkanah System</t>
        </is>
      </c>
      <c r="C22" s="573" t="n"/>
      <c r="D22" s="573" t="n"/>
      <c r="E22" s="573" t="n"/>
      <c r="F22" s="574" t="n"/>
    </row>
    <row r="23" ht="15" customHeight="1" s="581" thickBot="1">
      <c r="B23" s="94" t="inlineStr">
        <is>
          <t>Type</t>
        </is>
      </c>
      <c r="C23" s="95" t="inlineStr">
        <is>
          <t>Account Number</t>
        </is>
      </c>
      <c r="D23" s="95" t="inlineStr">
        <is>
          <t>Name</t>
        </is>
      </c>
      <c r="E23" s="95" t="inlineStr">
        <is>
          <t>Amount</t>
        </is>
      </c>
      <c r="F23" s="96" t="inlineStr">
        <is>
          <t>Value</t>
        </is>
      </c>
    </row>
    <row r="24">
      <c r="B24" s="98" t="inlineStr">
        <is>
          <t>DR</t>
        </is>
      </c>
      <c r="C24" s="120" t="inlineStr">
        <is>
          <t>EEEEEEEE</t>
        </is>
      </c>
      <c r="D24" s="83" t="inlineStr">
        <is>
          <t>Elkanah's Wallet Suspense Account</t>
        </is>
      </c>
      <c r="E24" s="83" t="inlineStr">
        <is>
          <t>Tranx Amt</t>
        </is>
      </c>
      <c r="F24" s="84" t="inlineStr">
        <is>
          <t>Nxxx</t>
        </is>
      </c>
    </row>
    <row r="25" ht="15" customHeight="1" s="581" thickBot="1">
      <c r="B25" s="101" t="inlineStr">
        <is>
          <t>CR</t>
        </is>
      </c>
      <c r="C25" s="102" t="inlineStr">
        <is>
          <t>AAAAAAAAAA</t>
        </is>
      </c>
      <c r="D25" s="102" t="inlineStr">
        <is>
          <t xml:space="preserve">Agent's Main Wallet </t>
        </is>
      </c>
      <c r="E25" s="102" t="inlineStr">
        <is>
          <t>Tranx Amt</t>
        </is>
      </c>
      <c r="F25" s="103" t="inlineStr">
        <is>
          <t>Nxxx</t>
        </is>
      </c>
    </row>
  </sheetData>
  <mergeCells count="6">
    <mergeCell ref="B4:F4"/>
    <mergeCell ref="B2:G2"/>
    <mergeCell ref="B22:F22"/>
    <mergeCell ref="B15:G15"/>
    <mergeCell ref="B17:F17"/>
    <mergeCell ref="B9:F9"/>
  </mergeCells>
  <pageMargins left="0.7086614173228347" right="0.7086614173228347" top="0.7480314960629921" bottom="0.7480314960629921" header="0.3149606299212598" footer="0.3149606299212598"/>
  <pageSetup orientation="portrait" paperSize="9" scale="86"/>
</worksheet>
</file>

<file path=xl/worksheets/sheet13.xml><?xml version="1.0" encoding="utf-8"?>
<worksheet xmlns="http://schemas.openxmlformats.org/spreadsheetml/2006/main">
  <sheetPr>
    <tabColor theme="9"/>
    <outlinePr summaryBelow="1" summaryRight="1"/>
    <pageSetUpPr fitToPage="1"/>
  </sheetPr>
  <dimension ref="A1:K48"/>
  <sheetViews>
    <sheetView zoomScale="64" zoomScaleNormal="130" workbookViewId="0">
      <selection activeCell="E14" sqref="E14"/>
    </sheetView>
  </sheetViews>
  <sheetFormatPr baseColWidth="8" defaultColWidth="12.1796875" defaultRowHeight="13.5"/>
  <cols>
    <col width="4" customWidth="1" style="563" min="1" max="1"/>
    <col width="12.26953125" customWidth="1" style="563" min="2" max="2"/>
    <col width="32.6328125" bestFit="1" customWidth="1" style="563" min="3" max="3"/>
    <col width="37.36328125" bestFit="1" customWidth="1" style="563" min="4" max="4"/>
    <col width="38.36328125" customWidth="1" style="563" min="5" max="5"/>
    <col width="62.1796875" bestFit="1" customWidth="1" style="563" min="6" max="6"/>
    <col width="18.7265625" customWidth="1" style="563" min="7" max="7"/>
    <col width="18" bestFit="1" customWidth="1" style="563" min="8" max="8"/>
    <col width="17.1796875" bestFit="1" customWidth="1" style="563" min="9" max="9"/>
    <col width="12.1796875" customWidth="1" style="563" min="10" max="10"/>
    <col width="12.1796875" customWidth="1" style="563" min="11" max="16384"/>
  </cols>
  <sheetData>
    <row r="1">
      <c r="B1" s="589" t="inlineStr">
        <is>
          <t>TRANSACTION TYPE : CASHOUT WITH DEBIT CARD</t>
        </is>
      </c>
    </row>
    <row r="2" ht="7" customHeight="1" s="581" thickBot="1"/>
    <row r="3" ht="14" customHeight="1" s="581" thickBot="1">
      <c r="B3" s="579" t="inlineStr">
        <is>
          <t>At the customer's (issuer's) Bank</t>
        </is>
      </c>
      <c r="C3" s="573" t="n"/>
      <c r="D3" s="573" t="n"/>
      <c r="E3" s="573" t="n"/>
      <c r="F3" s="574" t="n"/>
    </row>
    <row r="4" ht="14" customFormat="1" customHeight="1" s="2" thickBot="1">
      <c r="B4" s="94" t="inlineStr">
        <is>
          <t>Type</t>
        </is>
      </c>
      <c r="C4" s="95" t="inlineStr">
        <is>
          <t>Account Number</t>
        </is>
      </c>
      <c r="D4" s="95" t="inlineStr">
        <is>
          <t>Name</t>
        </is>
      </c>
      <c r="E4" s="95" t="inlineStr">
        <is>
          <t>Amount</t>
        </is>
      </c>
      <c r="F4" s="96" t="inlineStr">
        <is>
          <t>Value</t>
        </is>
      </c>
    </row>
    <row r="5">
      <c r="B5" s="91" t="inlineStr">
        <is>
          <t>DR</t>
        </is>
      </c>
      <c r="C5" s="92" t="inlineStr">
        <is>
          <t>XXXXXXXXXXX</t>
        </is>
      </c>
      <c r="D5" s="92" t="inlineStr">
        <is>
          <t>Customer's Name</t>
        </is>
      </c>
      <c r="E5" s="92" t="inlineStr">
        <is>
          <t>Tranx Amt</t>
        </is>
      </c>
      <c r="F5" s="93" t="inlineStr">
        <is>
          <t>Nxxx</t>
        </is>
      </c>
    </row>
    <row r="6" ht="14" customHeight="1" s="581" thickBot="1">
      <c r="B6" s="87" t="inlineStr">
        <is>
          <t>CR</t>
        </is>
      </c>
      <c r="C6" s="89" t="inlineStr">
        <is>
          <t>CCCCCCCCCCC</t>
        </is>
      </c>
      <c r="D6" s="89" t="inlineStr">
        <is>
          <t>Card Transaction Payable Account</t>
        </is>
      </c>
      <c r="E6" s="89" t="inlineStr">
        <is>
          <t>Tranx Amt</t>
        </is>
      </c>
      <c r="F6" s="90" t="inlineStr">
        <is>
          <t>Nxxx</t>
        </is>
      </c>
    </row>
    <row r="7" ht="14" customHeight="1" s="581" thickBot="1">
      <c r="B7" s="2" t="n"/>
    </row>
    <row r="8" ht="14.5" customHeight="1" s="581" thickBot="1">
      <c r="B8" s="579" t="inlineStr">
        <is>
          <t>On the New Agent Banking System : At Transaction Time : Instant Settlement</t>
        </is>
      </c>
      <c r="C8" s="573" t="n"/>
      <c r="D8" s="573" t="n"/>
      <c r="E8" s="573" t="n"/>
      <c r="F8" s="574" t="n"/>
    </row>
    <row r="9" ht="14" customFormat="1" customHeight="1" s="2" thickBot="1">
      <c r="B9" s="94" t="inlineStr">
        <is>
          <t>Type</t>
        </is>
      </c>
      <c r="C9" s="95" t="inlineStr">
        <is>
          <t>Account Number</t>
        </is>
      </c>
      <c r="D9" s="95" t="inlineStr">
        <is>
          <t>Name</t>
        </is>
      </c>
      <c r="E9" s="95" t="inlineStr">
        <is>
          <t>Amount</t>
        </is>
      </c>
      <c r="F9" s="96" t="inlineStr">
        <is>
          <t>Value</t>
        </is>
      </c>
    </row>
    <row r="10">
      <c r="B10" s="98" t="inlineStr">
        <is>
          <t>DR</t>
        </is>
      </c>
      <c r="C10" s="83" t="inlineStr">
        <is>
          <t>WWWWWWWWWW</t>
        </is>
      </c>
      <c r="D10" s="83" t="inlineStr">
        <is>
          <t>Zone Wallet Suspense Account</t>
        </is>
      </c>
      <c r="E10" s="83" t="inlineStr">
        <is>
          <t>Tranx Amt</t>
        </is>
      </c>
      <c r="F10" s="84" t="inlineStr">
        <is>
          <t>Nxxx</t>
        </is>
      </c>
    </row>
    <row r="11">
      <c r="B11" s="85" t="inlineStr">
        <is>
          <t>CR</t>
        </is>
      </c>
      <c r="C11" s="81" t="inlineStr">
        <is>
          <t>YYYYYYYYYYYYYYY</t>
        </is>
      </c>
      <c r="D11" s="81" t="inlineStr">
        <is>
          <t xml:space="preserve">Agent's Wallet </t>
        </is>
      </c>
      <c r="E11" s="81" t="inlineStr">
        <is>
          <t xml:space="preserve">Tranx Amt </t>
        </is>
      </c>
      <c r="F11" s="86" t="inlineStr">
        <is>
          <t xml:space="preserve">Nxxx </t>
        </is>
      </c>
    </row>
    <row r="12">
      <c r="B12" s="99" t="inlineStr">
        <is>
          <t>DR</t>
        </is>
      </c>
      <c r="C12" s="81" t="inlineStr">
        <is>
          <t>YYYYYYYYYYYYYYY</t>
        </is>
      </c>
      <c r="D12" s="81" t="inlineStr">
        <is>
          <t xml:space="preserve">Agent's Wallet </t>
        </is>
      </c>
      <c r="E12" s="81" t="inlineStr">
        <is>
          <t>Total Fees</t>
        </is>
      </c>
      <c r="F12" s="598" t="n"/>
    </row>
    <row r="13">
      <c r="B13" s="85" t="inlineStr">
        <is>
          <t>CR</t>
        </is>
      </c>
      <c r="C13" s="156" t="inlineStr">
        <is>
          <t>IIIIIIIIII</t>
        </is>
      </c>
      <c r="D13" s="92" t="inlineStr">
        <is>
          <t xml:space="preserve">Zone Card Transaction - Fee Payable </t>
        </is>
      </c>
      <c r="E13" s="92" t="inlineStr">
        <is>
          <t>Switching Fees due to Zone</t>
        </is>
      </c>
      <c r="F13" s="599" t="n"/>
    </row>
    <row r="14">
      <c r="B14" s="85" t="inlineStr">
        <is>
          <t>CR</t>
        </is>
      </c>
      <c r="C14" s="82" t="inlineStr">
        <is>
          <t>RRRRRRRRRR</t>
        </is>
      </c>
      <c r="D14" s="81" t="inlineStr">
        <is>
          <t>Revenue from Cashout</t>
        </is>
      </c>
      <c r="E14" s="81" t="inlineStr">
        <is>
          <t>Fees due to 9PSB</t>
        </is>
      </c>
      <c r="F14" s="599" t="n"/>
    </row>
    <row r="15" ht="14" customHeight="1" s="581" thickBot="1">
      <c r="B15" s="87" t="inlineStr">
        <is>
          <t>CR</t>
        </is>
      </c>
      <c r="C15" s="88" t="inlineStr">
        <is>
          <t>VVVVVVVVVV</t>
        </is>
      </c>
      <c r="D15" s="89" t="inlineStr">
        <is>
          <t>VAT - Output</t>
        </is>
      </c>
      <c r="E15" s="89" t="inlineStr">
        <is>
          <t>VAT on Fees due to 9PSB</t>
        </is>
      </c>
      <c r="F15" s="600" t="n"/>
    </row>
    <row r="16">
      <c r="B16" s="104" t="inlineStr">
        <is>
          <t>Note: SSSSSSSSSS is a varying SLP account. This is the wallet of the SLP which the transacting Agent's wallet is mapped to</t>
        </is>
      </c>
    </row>
    <row r="17">
      <c r="B17" s="2" t="n"/>
    </row>
    <row r="18" ht="14" customHeight="1" s="581" thickBot="1">
      <c r="B18" s="594" t="inlineStr">
        <is>
          <t>On the Core Banking System</t>
        </is>
      </c>
      <c r="C18" s="570" t="n"/>
      <c r="D18" s="570" t="n"/>
      <c r="F18" s="658" t="n"/>
      <c r="G18" s="658" t="n"/>
    </row>
    <row r="19" ht="9.65" customHeight="1" s="581" thickBot="1">
      <c r="B19" s="97" t="n"/>
      <c r="C19" s="97" t="n"/>
      <c r="D19" s="97" t="n"/>
    </row>
    <row r="20" ht="14.5" customHeight="1" s="581">
      <c r="B20" s="601" t="inlineStr">
        <is>
          <t>1A. Card Withdrawal (for all amounts) : Total Fees + VAT : (0.005 of tranx amount capped at N100)</t>
        </is>
      </c>
      <c r="C20" s="573" t="n"/>
      <c r="D20" s="573" t="n"/>
      <c r="E20" s="573" t="n"/>
      <c r="F20" s="576" t="n"/>
      <c r="H20" s="665" t="n"/>
    </row>
    <row r="21" ht="14" customHeight="1" s="581" thickBot="1">
      <c r="B21" s="586" t="inlineStr">
        <is>
          <t>Instant Settlement to Agent's Account</t>
        </is>
      </c>
      <c r="C21" s="573" t="n"/>
      <c r="D21" s="574" t="n"/>
      <c r="E21" s="418" t="n"/>
      <c r="F21" s="419" t="n"/>
    </row>
    <row r="22" ht="14" customHeight="1" s="581" thickBot="1">
      <c r="B22" s="140" t="inlineStr">
        <is>
          <t>Type</t>
        </is>
      </c>
      <c r="C22" s="77" t="inlineStr">
        <is>
          <t>Account Number</t>
        </is>
      </c>
      <c r="D22" s="77" t="inlineStr">
        <is>
          <t>Name</t>
        </is>
      </c>
      <c r="E22" s="78" t="inlineStr">
        <is>
          <t>Amount</t>
        </is>
      </c>
      <c r="F22" s="78" t="inlineStr">
        <is>
          <t>Value</t>
        </is>
      </c>
      <c r="G22" s="2" t="n"/>
    </row>
    <row r="23" ht="25.5" customHeight="1" s="581" thickBot="1">
      <c r="B23" s="141" t="inlineStr">
        <is>
          <t>DR</t>
        </is>
      </c>
      <c r="C23" s="162" t="inlineStr">
        <is>
          <t>ZZZZZZZZZZ</t>
        </is>
      </c>
      <c r="D23" s="139" t="inlineStr">
        <is>
          <t>Zone Card Transaction - Receivable GL</t>
        </is>
      </c>
      <c r="E23" s="121" t="inlineStr">
        <is>
          <t>Tranx Amt less Zone fees</t>
        </is>
      </c>
      <c r="F23" s="79" t="inlineStr">
        <is>
          <t>Nxxx less [0.0027 * Nxxx (capped at N12.90)]</t>
        </is>
      </c>
      <c r="G23" s="157" t="n"/>
      <c r="H23" s="760" t="n"/>
    </row>
    <row r="24" ht="14" customHeight="1" s="581" thickBot="1">
      <c r="B24" s="141" t="inlineStr">
        <is>
          <t>CR</t>
        </is>
      </c>
      <c r="C24" s="139" t="n">
        <v>10120004</v>
      </c>
      <c r="D24" s="139" t="inlineStr">
        <is>
          <t>Float Account - Agent Banking</t>
        </is>
      </c>
      <c r="E24" s="121" t="inlineStr">
        <is>
          <t>Tranx Amt less total charges</t>
        </is>
      </c>
      <c r="F24" s="138" t="inlineStr">
        <is>
          <t>Nxxx less (total fees + VAT + WHT due to 9PSB, ZONE &amp; Agent)</t>
        </is>
      </c>
      <c r="G24" s="151" t="n"/>
    </row>
    <row r="25" ht="14" customHeight="1" s="581" thickBot="1">
      <c r="B25" s="141" t="inlineStr">
        <is>
          <t>CR</t>
        </is>
      </c>
      <c r="C25" s="139" t="n">
        <v>40060024</v>
      </c>
      <c r="D25" s="139" t="inlineStr">
        <is>
          <t>Revenue from Cashout</t>
        </is>
      </c>
      <c r="E25" s="121" t="inlineStr">
        <is>
          <t>Fees due to 9PSB</t>
        </is>
      </c>
      <c r="F25" s="79" t="inlineStr">
        <is>
          <t>0.9302*(Total fees - ZONE fees- Agent Fees - Agent WHT)</t>
        </is>
      </c>
      <c r="G25" s="151" t="n"/>
      <c r="H25" s="658" t="n"/>
      <c r="I25" s="665" t="n"/>
      <c r="K25" s="761" t="n"/>
    </row>
    <row r="26" ht="19.5" customHeight="1" s="581" thickBot="1">
      <c r="B26" s="141" t="inlineStr">
        <is>
          <t>CR</t>
        </is>
      </c>
      <c r="C26" s="139" t="n">
        <v>20070049</v>
      </c>
      <c r="D26" s="139" t="inlineStr">
        <is>
          <t>VAT - Output</t>
        </is>
      </c>
      <c r="E26" s="121" t="inlineStr">
        <is>
          <t>VAT on Fees due to 9PSB</t>
        </is>
      </c>
      <c r="F26" s="79" t="inlineStr">
        <is>
          <t>0.0698*(Total fees - Zone fees - Agent Fees - Agent WHT)</t>
        </is>
      </c>
      <c r="G26" s="151" t="n"/>
      <c r="H26" s="762" t="n"/>
      <c r="I26" s="763" t="n"/>
      <c r="K26" s="761" t="n"/>
    </row>
    <row r="27" ht="13.5" customHeight="1" s="581">
      <c r="B27" s="80" t="n"/>
      <c r="C27" s="136" t="n"/>
      <c r="D27" s="136" t="n"/>
      <c r="E27" s="136" t="n"/>
      <c r="F27" s="136" t="n"/>
      <c r="H27" s="764" t="n"/>
      <c r="I27" s="765" t="n"/>
    </row>
    <row r="28" ht="14" customHeight="1" s="581" thickBot="1">
      <c r="B28" s="80" t="n"/>
      <c r="C28" s="80" t="n"/>
      <c r="D28" s="80" t="n"/>
      <c r="E28" s="80" t="n"/>
      <c r="F28" s="80" t="n"/>
      <c r="H28" s="661" t="n"/>
    </row>
    <row r="29" ht="14" customHeight="1" s="581" thickBot="1">
      <c r="B29" s="602" t="inlineStr">
        <is>
          <t>Daily Settlement in Elkanah Wallet</t>
        </is>
      </c>
      <c r="C29" s="573" t="n"/>
      <c r="D29" s="573" t="n"/>
      <c r="E29" s="574" t="n"/>
      <c r="F29" s="80" t="n"/>
      <c r="H29" s="661" t="n"/>
    </row>
    <row r="30" ht="14" customFormat="1" customHeight="1" s="2" thickBot="1">
      <c r="B30" s="94" t="inlineStr">
        <is>
          <t>Type</t>
        </is>
      </c>
      <c r="C30" s="95" t="inlineStr">
        <is>
          <t>Account Number</t>
        </is>
      </c>
      <c r="D30" s="95" t="inlineStr">
        <is>
          <t>Name</t>
        </is>
      </c>
      <c r="E30" s="96" t="inlineStr">
        <is>
          <t>Amount</t>
        </is>
      </c>
      <c r="F30" s="137" t="inlineStr">
        <is>
          <t>Value</t>
        </is>
      </c>
    </row>
    <row r="31">
      <c r="B31" s="85" t="inlineStr">
        <is>
          <t>DR</t>
        </is>
      </c>
      <c r="C31" s="82" t="inlineStr">
        <is>
          <t>CCCCCCCCCC</t>
        </is>
      </c>
      <c r="D31" s="81" t="inlineStr">
        <is>
          <t xml:space="preserve">ZONE Transaction Processing </t>
        </is>
      </c>
      <c r="E31" s="86" t="inlineStr">
        <is>
          <t>ZONE Tranx Processing Fees</t>
        </is>
      </c>
      <c r="F31" s="596" t="n"/>
    </row>
    <row r="32">
      <c r="B32" s="85" t="inlineStr">
        <is>
          <t>DR</t>
        </is>
      </c>
      <c r="C32" s="82" t="inlineStr">
        <is>
          <t>RRRRRRRRRR</t>
        </is>
      </c>
      <c r="D32" s="81" t="inlineStr">
        <is>
          <t>Revenue from Cashout</t>
        </is>
      </c>
      <c r="E32" s="86" t="inlineStr">
        <is>
          <t>Fees due to 9PSB</t>
        </is>
      </c>
      <c r="F32" s="597" t="n"/>
    </row>
    <row r="33">
      <c r="B33" s="85" t="inlineStr">
        <is>
          <t>DR</t>
        </is>
      </c>
      <c r="C33" s="82" t="inlineStr">
        <is>
          <t>VVVVVVVVVV</t>
        </is>
      </c>
      <c r="D33" s="81" t="inlineStr">
        <is>
          <t>VAT - Output</t>
        </is>
      </c>
      <c r="E33" s="86" t="inlineStr">
        <is>
          <t>VAT on Fees due to 9PSB</t>
        </is>
      </c>
      <c r="F33" s="597" t="n"/>
    </row>
    <row r="34" ht="14" customHeight="1" s="581" thickBot="1">
      <c r="B34" s="153" t="inlineStr">
        <is>
          <t>CR</t>
        </is>
      </c>
      <c r="C34" s="102" t="inlineStr">
        <is>
          <t>WWWWWWWWWW</t>
        </is>
      </c>
      <c r="D34" s="102" t="inlineStr">
        <is>
          <t>Elkanah's Wallet Suspense Account</t>
        </is>
      </c>
      <c r="E34" s="111" t="inlineStr">
        <is>
          <t>Part fees</t>
        </is>
      </c>
      <c r="F34" s="79" t="n"/>
      <c r="G34" s="80" t="n"/>
    </row>
    <row r="35">
      <c r="B35" s="80" t="n"/>
      <c r="C35" s="80" t="n"/>
      <c r="D35" s="80" t="n"/>
      <c r="E35" s="80" t="n"/>
      <c r="F35" s="80" t="n"/>
      <c r="G35" s="80" t="n"/>
    </row>
    <row r="36">
      <c r="B36" s="80" t="n"/>
      <c r="C36" s="80" t="n"/>
      <c r="D36" s="80" t="n"/>
      <c r="E36" s="80" t="n"/>
      <c r="F36" s="80" t="n"/>
      <c r="G36" s="80" t="n"/>
    </row>
    <row r="37" ht="14" customHeight="1" s="581" thickBot="1">
      <c r="A37" s="142" t="n"/>
      <c r="B37" s="689" t="inlineStr">
        <is>
          <t>Agent classification based on transaction volume (count)</t>
        </is>
      </c>
      <c r="C37" s="666" t="n"/>
      <c r="D37" s="665" t="n"/>
      <c r="E37" s="666" t="n"/>
      <c r="J37" s="661" t="n"/>
    </row>
    <row r="38">
      <c r="A38" s="142" t="n"/>
      <c r="B38" s="750" t="inlineStr">
        <is>
          <t>Category</t>
        </is>
      </c>
      <c r="C38" s="766" t="inlineStr">
        <is>
          <t>Card Withdrawal Charge</t>
        </is>
      </c>
      <c r="D38" s="752" t="inlineStr">
        <is>
          <t>Remarks</t>
        </is>
      </c>
      <c r="I38" s="661" t="n"/>
    </row>
    <row r="39">
      <c r="A39" s="142" t="n"/>
      <c r="B39" s="679" t="inlineStr">
        <is>
          <t xml:space="preserve">Silver </t>
        </is>
      </c>
      <c r="C39" s="736" t="inlineStr">
        <is>
          <t>0.50% capped at N100</t>
        </is>
      </c>
      <c r="D39" s="683" t="inlineStr">
        <is>
          <t>No Cashback</t>
        </is>
      </c>
      <c r="I39" s="661" t="n"/>
    </row>
    <row r="40">
      <c r="A40" s="142" t="n"/>
      <c r="B40" s="679" t="inlineStr">
        <is>
          <t xml:space="preserve">Gold </t>
        </is>
      </c>
      <c r="C40" s="736" t="inlineStr">
        <is>
          <t>0.45% capped at N90</t>
        </is>
      </c>
      <c r="D40" s="683" t="inlineStr">
        <is>
          <t>10% Cashback on Fees</t>
        </is>
      </c>
      <c r="E40" s="658" t="n"/>
      <c r="I40" s="661" t="n"/>
    </row>
    <row r="41" ht="14" customHeight="1" s="581" thickBot="1">
      <c r="A41" s="142" t="n"/>
      <c r="B41" s="684" t="inlineStr">
        <is>
          <t xml:space="preserve">Platinum </t>
        </is>
      </c>
      <c r="C41" s="737" t="inlineStr">
        <is>
          <t>0.40% capped at N80</t>
        </is>
      </c>
      <c r="D41" s="688" t="inlineStr">
        <is>
          <t>20% Cashback on Fees</t>
        </is>
      </c>
      <c r="I41" s="661" t="n"/>
    </row>
    <row r="42" ht="14" customHeight="1" s="581" thickBot="1">
      <c r="A42" s="142" t="n"/>
      <c r="B42" s="689" t="n"/>
      <c r="C42" s="666" t="n"/>
      <c r="D42" s="665" t="n"/>
      <c r="E42" s="666" t="n"/>
      <c r="G42" s="258" t="n"/>
      <c r="J42" s="661" t="n"/>
    </row>
    <row r="43" customFormat="1" s="2">
      <c r="A43" s="143" t="n"/>
      <c r="B43" s="750" t="inlineStr">
        <is>
          <t>Where</t>
        </is>
      </c>
      <c r="C43" s="756" t="inlineStr">
        <is>
          <t>Card Withdrawal Tranx/Month</t>
        </is>
      </c>
      <c r="D43" s="738" t="n"/>
      <c r="E43" s="739" t="n"/>
      <c r="J43" s="660" t="n"/>
    </row>
    <row r="44">
      <c r="A44" s="142" t="n"/>
      <c r="B44" s="679" t="inlineStr">
        <is>
          <t xml:space="preserve">Silver </t>
        </is>
      </c>
      <c r="C44" s="757" t="inlineStr">
        <is>
          <t>1-199</t>
        </is>
      </c>
      <c r="D44" s="665" t="n"/>
      <c r="E44" s="666" t="n"/>
      <c r="J44" s="661" t="n"/>
    </row>
    <row r="45">
      <c r="A45" s="142" t="n"/>
      <c r="B45" s="679" t="inlineStr">
        <is>
          <t>Gold</t>
        </is>
      </c>
      <c r="C45" s="758" t="inlineStr">
        <is>
          <t>200-499</t>
        </is>
      </c>
      <c r="D45" s="665" t="n"/>
      <c r="E45" s="666" t="n"/>
      <c r="J45" s="661" t="n"/>
    </row>
    <row r="46" ht="14" customHeight="1" s="581" thickBot="1">
      <c r="A46" s="142" t="n"/>
      <c r="B46" s="684" t="inlineStr">
        <is>
          <t>Platinum</t>
        </is>
      </c>
      <c r="C46" s="759" t="inlineStr">
        <is>
          <t>500 &amp; above</t>
        </is>
      </c>
      <c r="D46" s="665" t="n"/>
      <c r="E46" s="666" t="n"/>
      <c r="J46" s="661" t="n"/>
    </row>
    <row r="47">
      <c r="A47" s="142" t="n"/>
      <c r="B47" s="689" t="n"/>
      <c r="C47" s="666" t="n"/>
      <c r="D47" s="665" t="n"/>
      <c r="E47" s="666" t="n"/>
      <c r="J47" s="661" t="n"/>
    </row>
    <row r="48" ht="48" customHeight="1" s="581">
      <c r="A48" s="142" t="n"/>
      <c r="B48" s="740" t="inlineStr">
        <is>
          <t>Notes: 
(a) This classification will be automatically updated at the end of each month
(b) Discounts will be instantly credited into the Agent's Commission wallet</t>
        </is>
      </c>
      <c r="F48" s="666" t="n"/>
      <c r="K48" s="661" t="n"/>
    </row>
  </sheetData>
  <mergeCells count="10">
    <mergeCell ref="F31:F33"/>
    <mergeCell ref="F12:F15"/>
    <mergeCell ref="B20:F20"/>
    <mergeCell ref="B1:D1"/>
    <mergeCell ref="B3:F3"/>
    <mergeCell ref="B48:E48"/>
    <mergeCell ref="B29:E29"/>
    <mergeCell ref="B18:D18"/>
    <mergeCell ref="B21:D21"/>
    <mergeCell ref="B8:F8"/>
  </mergeCells>
  <pageMargins left="0.7086614173228347" right="0.7086614173228347" top="0.7480314960629921" bottom="0.7480314960629921" header="0.3149606299212598" footer="0.3149606299212598"/>
  <pageSetup orientation="portrait" paperSize="9" scale="34"/>
</worksheet>
</file>

<file path=xl/worksheets/sheet14.xml><?xml version="1.0" encoding="utf-8"?>
<worksheet xmlns="http://schemas.openxmlformats.org/spreadsheetml/2006/main">
  <sheetPr>
    <tabColor theme="5"/>
    <outlinePr summaryBelow="1" summaryRight="1"/>
    <pageSetUpPr fitToPage="1"/>
  </sheetPr>
  <dimension ref="A2:I14"/>
  <sheetViews>
    <sheetView zoomScale="85" zoomScaleNormal="85" workbookViewId="0">
      <selection activeCell="A4" sqref="A4:XFD14"/>
    </sheetView>
  </sheetViews>
  <sheetFormatPr baseColWidth="8" defaultRowHeight="14.5"/>
  <cols>
    <col width="5.7265625" customWidth="1" style="581" min="1" max="1"/>
    <col width="5.81640625" bestFit="1" customWidth="1" style="581" min="2" max="2"/>
    <col width="18.1796875" bestFit="1" customWidth="1" style="581" min="3" max="3"/>
    <col width="31.08984375" customWidth="1" style="581" min="4" max="4"/>
    <col width="24.1796875" customWidth="1" style="581" min="5" max="5"/>
    <col width="17.36328125" customWidth="1" style="581" min="6" max="6"/>
  </cols>
  <sheetData>
    <row r="2" ht="13.5" customFormat="1" customHeight="1" s="563">
      <c r="B2" s="580" t="inlineStr">
        <is>
          <t>TRANSACTION TYPE : AGENT WALLET FUNDING FROM ACCOUNT IN OTHER BANK</t>
        </is>
      </c>
    </row>
    <row r="3" ht="15" customHeight="1" s="581" thickBot="1"/>
    <row r="4" ht="15" customHeight="1" s="581" thickBot="1">
      <c r="B4" s="579" t="inlineStr">
        <is>
          <t>On Core Banking System</t>
        </is>
      </c>
      <c r="C4" s="573" t="n"/>
      <c r="D4" s="573" t="n"/>
      <c r="E4" s="573" t="n"/>
      <c r="F4" s="574" t="n"/>
    </row>
    <row r="5" ht="16" customFormat="1" customHeight="1" s="292" thickBot="1">
      <c r="A5" s="289" t="n"/>
      <c r="B5" s="603" t="inlineStr">
        <is>
          <t>Funds from other Banks to 9PSB Agent Wallet</t>
        </is>
      </c>
      <c r="C5" s="573" t="n"/>
      <c r="D5" s="573" t="n"/>
      <c r="E5" s="576" t="n"/>
      <c r="F5" s="767" t="n"/>
      <c r="G5" s="290" t="n"/>
      <c r="H5" s="291" t="n"/>
    </row>
    <row r="6" ht="16" customFormat="1" customHeight="1" s="292" thickBot="1">
      <c r="A6" s="293" t="n"/>
      <c r="B6" s="294" t="inlineStr">
        <is>
          <t>Type</t>
        </is>
      </c>
      <c r="C6" s="301" t="inlineStr">
        <is>
          <t>Account No</t>
        </is>
      </c>
      <c r="D6" s="295" t="inlineStr">
        <is>
          <t>Name</t>
        </is>
      </c>
      <c r="E6" s="295" t="inlineStr">
        <is>
          <t>Amount</t>
        </is>
      </c>
      <c r="F6" s="304" t="inlineStr">
        <is>
          <t>Sample Values</t>
        </is>
      </c>
      <c r="G6" s="296" t="n"/>
      <c r="H6" s="291" t="n"/>
    </row>
    <row r="7" ht="15.5" customFormat="1" customHeight="1" s="292">
      <c r="A7" s="293" t="n"/>
      <c r="B7" s="297" t="inlineStr">
        <is>
          <t>DR</t>
        </is>
      </c>
      <c r="C7" s="302" t="n">
        <v>10120014</v>
      </c>
      <c r="D7" s="298" t="inlineStr">
        <is>
          <t>NIP Receivable GL</t>
        </is>
      </c>
      <c r="E7" s="298" t="inlineStr">
        <is>
          <t>Tranx Amt</t>
        </is>
      </c>
      <c r="F7" s="768" t="inlineStr">
        <is>
          <t>Nxxx</t>
        </is>
      </c>
      <c r="G7" s="296" t="n"/>
      <c r="H7" s="291" t="n"/>
      <c r="I7" s="769" t="n"/>
    </row>
    <row r="8" ht="16" customFormat="1" customHeight="1" s="292" thickBot="1">
      <c r="A8" s="293" t="n"/>
      <c r="B8" s="299" t="inlineStr">
        <is>
          <t>CR</t>
        </is>
      </c>
      <c r="C8" s="306" t="n">
        <v>10120004</v>
      </c>
      <c r="D8" s="307" t="inlineStr">
        <is>
          <t>Float Account - Agent Banking</t>
        </is>
      </c>
      <c r="E8" s="300" t="inlineStr">
        <is>
          <t>Tranx Amt</t>
        </is>
      </c>
      <c r="F8" s="770" t="inlineStr">
        <is>
          <t>Nxxx</t>
        </is>
      </c>
      <c r="G8" s="296" t="n"/>
      <c r="H8" s="291" t="n"/>
    </row>
    <row r="9" ht="15" customHeight="1" s="581" thickBot="1"/>
    <row r="10" ht="15" customHeight="1" s="581" thickBot="1">
      <c r="B10" s="579" t="inlineStr">
        <is>
          <t>On Elkanah Platform</t>
        </is>
      </c>
      <c r="C10" s="573" t="n"/>
      <c r="D10" s="573" t="n"/>
      <c r="E10" s="573" t="n"/>
      <c r="F10" s="574" t="n"/>
    </row>
    <row r="11" ht="16" customFormat="1" customHeight="1" s="292" thickBot="1">
      <c r="A11" s="289" t="n"/>
      <c r="B11" s="603" t="inlineStr">
        <is>
          <t>Funds from other Banks to 9PSB Agent Wallet</t>
        </is>
      </c>
      <c r="C11" s="573" t="n"/>
      <c r="D11" s="573" t="n"/>
      <c r="E11" s="576" t="n"/>
      <c r="F11" s="767" t="n"/>
      <c r="G11" s="290" t="n"/>
      <c r="H11" s="291" t="n"/>
    </row>
    <row r="12" ht="16" customFormat="1" customHeight="1" s="292" thickBot="1">
      <c r="A12" s="293" t="n"/>
      <c r="B12" s="294" t="inlineStr">
        <is>
          <t>Type</t>
        </is>
      </c>
      <c r="C12" s="301" t="inlineStr">
        <is>
          <t>Account No</t>
        </is>
      </c>
      <c r="D12" s="295" t="inlineStr">
        <is>
          <t>Name</t>
        </is>
      </c>
      <c r="E12" s="295" t="inlineStr">
        <is>
          <t>Amount</t>
        </is>
      </c>
      <c r="F12" s="304" t="inlineStr">
        <is>
          <t>Sample Values</t>
        </is>
      </c>
      <c r="G12" s="296" t="n"/>
      <c r="H12" s="291" t="n"/>
    </row>
    <row r="13" ht="15.5" customFormat="1" customHeight="1" s="292">
      <c r="A13" s="293" t="n"/>
      <c r="B13" s="297" t="inlineStr">
        <is>
          <t>DR</t>
        </is>
      </c>
      <c r="C13" s="302" t="inlineStr">
        <is>
          <t>EEEEEEEE</t>
        </is>
      </c>
      <c r="D13" s="298" t="inlineStr">
        <is>
          <t>Elkanah's Wallet Suspense Account</t>
        </is>
      </c>
      <c r="E13" s="298" t="inlineStr">
        <is>
          <t>Tranx Amt</t>
        </is>
      </c>
      <c r="F13" s="768" t="inlineStr">
        <is>
          <t>Nxxx</t>
        </is>
      </c>
      <c r="G13" s="296" t="n"/>
      <c r="H13" s="291" t="n"/>
      <c r="I13" s="769" t="n"/>
    </row>
    <row r="14" ht="16" customFormat="1" customHeight="1" s="292" thickBot="1">
      <c r="A14" s="293" t="n"/>
      <c r="B14" s="299" t="inlineStr">
        <is>
          <t>CR</t>
        </is>
      </c>
      <c r="C14" s="306" t="inlineStr">
        <is>
          <t>AAAAAAAAAA</t>
        </is>
      </c>
      <c r="D14" s="307" t="inlineStr">
        <is>
          <t xml:space="preserve">Agent's Main Wallet </t>
        </is>
      </c>
      <c r="E14" s="300" t="inlineStr">
        <is>
          <t xml:space="preserve">Tranx Amt </t>
        </is>
      </c>
      <c r="F14" s="770" t="inlineStr">
        <is>
          <t>Nxxx</t>
        </is>
      </c>
      <c r="G14" s="296" t="n"/>
      <c r="H14" s="291" t="n"/>
    </row>
  </sheetData>
  <mergeCells count="5">
    <mergeCell ref="B4:F4"/>
    <mergeCell ref="B2:F2"/>
    <mergeCell ref="B10:F10"/>
    <mergeCell ref="B11:E11"/>
    <mergeCell ref="B5:E5"/>
  </mergeCells>
  <pageMargins left="0.7086614173228347" right="0.7086614173228347" top="0.7480314960629921" bottom="0.7480314960629921" header="0.3149606299212598" footer="0.3149606299212598"/>
  <pageSetup orientation="portrait" paperSize="9" scale="86"/>
</worksheet>
</file>

<file path=xl/worksheets/sheet15.xml><?xml version="1.0" encoding="utf-8"?>
<worksheet xmlns="http://schemas.openxmlformats.org/spreadsheetml/2006/main">
  <sheetPr>
    <tabColor theme="4"/>
    <outlinePr summaryBelow="1" summaryRight="1"/>
    <pageSetUpPr fitToPage="1"/>
  </sheetPr>
  <dimension ref="A1:J60"/>
  <sheetViews>
    <sheetView topLeftCell="B3" zoomScale="70" zoomScaleNormal="70" workbookViewId="0">
      <selection activeCell="A9" sqref="A9:XFD9"/>
    </sheetView>
  </sheetViews>
  <sheetFormatPr baseColWidth="8" defaultColWidth="12.1796875" defaultRowHeight="13.5"/>
  <cols>
    <col width="13.7265625" customWidth="1" style="563" min="1" max="1"/>
    <col width="16" customWidth="1" style="563" min="2" max="2"/>
    <col width="26.453125" customWidth="1" style="563" min="3" max="3"/>
    <col width="51.54296875" bestFit="1" customWidth="1" style="563" min="4" max="4"/>
    <col width="52.26953125" customWidth="1" style="563" min="5" max="5"/>
    <col width="42.6328125" customWidth="1" style="563" min="6" max="6"/>
    <col width="12.1796875" customWidth="1" style="563" min="7" max="7"/>
    <col width="12.1796875" customWidth="1" style="563" min="8" max="16384"/>
  </cols>
  <sheetData>
    <row r="1">
      <c r="B1" s="589" t="inlineStr">
        <is>
          <t>TRANSACTION TYPE : DEPOSIT/CASH-IN (TRANSFER TO 9PSB ACCOUNT) : Total Fees + VAT : N20.00</t>
        </is>
      </c>
    </row>
    <row r="3" ht="14" customHeight="1" s="581" thickBot="1">
      <c r="A3" s="354" t="inlineStr">
        <is>
          <t>Scenario 1</t>
        </is>
      </c>
      <c r="B3" s="354" t="inlineStr">
        <is>
          <t>Where</t>
        </is>
      </c>
      <c r="C3" s="354" t="inlineStr">
        <is>
          <t>Amount : N1 - N9,999</t>
        </is>
      </c>
    </row>
    <row r="4" ht="14" customHeight="1" s="581" thickBot="1">
      <c r="B4" s="579" t="inlineStr">
        <is>
          <t>On Elkanah Platform</t>
        </is>
      </c>
      <c r="C4" s="573" t="n"/>
      <c r="D4" s="573" t="n"/>
      <c r="E4" s="573" t="n"/>
      <c r="F4" s="574" t="n"/>
    </row>
    <row r="5" ht="14" customFormat="1" customHeight="1" s="2" thickBot="1">
      <c r="B5" s="94" t="inlineStr">
        <is>
          <t>Type</t>
        </is>
      </c>
      <c r="C5" s="95" t="inlineStr">
        <is>
          <t>Account Number</t>
        </is>
      </c>
      <c r="D5" s="95" t="inlineStr">
        <is>
          <t>Name</t>
        </is>
      </c>
      <c r="E5" s="95" t="inlineStr">
        <is>
          <t>Amount</t>
        </is>
      </c>
      <c r="F5" s="96" t="inlineStr">
        <is>
          <t>Value</t>
        </is>
      </c>
      <c r="G5" s="2" t="inlineStr">
        <is>
          <t>Tranx Amt</t>
        </is>
      </c>
      <c r="H5" s="2" t="n">
        <v>6000</v>
      </c>
    </row>
    <row r="6" ht="14" customFormat="1" customHeight="1" s="2" thickBot="1">
      <c r="B6" s="105" t="n"/>
      <c r="C6" s="106" t="n"/>
      <c r="D6" s="106" t="n"/>
      <c r="E6" s="106" t="n"/>
      <c r="F6" s="107" t="n"/>
      <c r="G6" s="354" t="inlineStr">
        <is>
          <t>Silver</t>
        </is>
      </c>
      <c r="H6" s="354" t="inlineStr">
        <is>
          <t>Gold</t>
        </is>
      </c>
      <c r="I6" s="354" t="inlineStr">
        <is>
          <t>Platinum</t>
        </is>
      </c>
    </row>
    <row r="7">
      <c r="B7" s="98" t="inlineStr">
        <is>
          <t>DR</t>
        </is>
      </c>
      <c r="C7" s="83" t="inlineStr">
        <is>
          <t xml:space="preserve">YYYYYYYYYY  </t>
        </is>
      </c>
      <c r="D7" s="83" t="inlineStr">
        <is>
          <t>Agent's Wallet</t>
        </is>
      </c>
      <c r="E7" s="83" t="inlineStr">
        <is>
          <t>Tranx Amt + Total Fees + VAT</t>
        </is>
      </c>
      <c r="F7" s="192" t="inlineStr">
        <is>
          <t>Nxxx + N20.00</t>
        </is>
      </c>
      <c r="G7" s="771">
        <f>H5+20</f>
        <v/>
      </c>
    </row>
    <row r="8" ht="40.5" customHeight="1" s="581">
      <c r="B8" s="85" t="inlineStr">
        <is>
          <t>CR</t>
        </is>
      </c>
      <c r="C8" s="81" t="inlineStr">
        <is>
          <t>EEEEEEEE</t>
        </is>
      </c>
      <c r="D8" s="124" t="inlineStr">
        <is>
          <t>Elkanah's Wallet Suspense Account</t>
        </is>
      </c>
      <c r="E8" s="124" t="inlineStr">
        <is>
          <t>Tranx Amt</t>
        </is>
      </c>
      <c r="F8" s="741" t="inlineStr">
        <is>
          <t>IF (Silver Agent = Nxxx + N16.00)
IF (Gold Agent = Nxxx + N14.00)
IF (Platinum Agent = Nxxx + N12.00)</t>
        </is>
      </c>
      <c r="G8" s="733">
        <f>H5+16</f>
        <v/>
      </c>
    </row>
    <row r="9">
      <c r="B9" s="91" t="inlineStr">
        <is>
          <t>CR</t>
        </is>
      </c>
      <c r="C9" s="92" t="inlineStr">
        <is>
          <t>SLPSLPSLP</t>
        </is>
      </c>
      <c r="D9" s="92" t="inlineStr">
        <is>
          <t>SLP Commission Wallet</t>
        </is>
      </c>
      <c r="E9" s="81" t="inlineStr">
        <is>
          <t>Comm. Due to SLP (where applicable)</t>
        </is>
      </c>
      <c r="F9" s="742" t="n">
        <v>4</v>
      </c>
      <c r="G9" s="733">
        <f>F9</f>
        <v/>
      </c>
    </row>
    <row r="10" ht="41" customHeight="1" s="581" thickBot="1">
      <c r="B10" s="101" t="inlineStr">
        <is>
          <t>CR</t>
        </is>
      </c>
      <c r="C10" s="102" t="inlineStr">
        <is>
          <t>AAAAAAAAA</t>
        </is>
      </c>
      <c r="D10" s="102" t="inlineStr">
        <is>
          <t>Agent Commission Wallet</t>
        </is>
      </c>
      <c r="E10" s="102" t="inlineStr">
        <is>
          <t>Cashback on cashout fee (where applicable)</t>
        </is>
      </c>
      <c r="F10" s="743" t="inlineStr">
        <is>
          <t>IF (Silver Agent, cashback = N0.00)
IF (Gold Agent, cashback = (N2.00)
IF (Platinum Agent, cashback = (N4.00)</t>
        </is>
      </c>
      <c r="G10" s="733" t="n">
        <v>0</v>
      </c>
    </row>
    <row r="11">
      <c r="B11" s="163" t="inlineStr">
        <is>
          <t>Note: SLPSLPSLP is a varying SLP commission wallets on Elkanah. This is the wallet of the SLP which the transacting Agent's Main Wallet is mapped to. Where an Agent has no SLP, the commission is credited to the Bank</t>
        </is>
      </c>
      <c r="I11" s="731" t="n"/>
    </row>
    <row r="13">
      <c r="B13" s="104" t="inlineStr">
        <is>
          <t>Call FT API, if unsuccessful, reverse the entries on Elkanah's end but if successful, proceed to post the entries on the core banking (Note: If for any reason, the core banking is down, put a process in place for retry up to 5 times)</t>
        </is>
      </c>
    </row>
    <row r="14">
      <c r="B14" s="104" t="n"/>
    </row>
    <row r="15" ht="14" customHeight="1" s="581" thickBot="1">
      <c r="B15" s="594" t="inlineStr">
        <is>
          <t>On the Core Banking System</t>
        </is>
      </c>
      <c r="C15" s="570" t="n"/>
      <c r="D15" s="570" t="n"/>
    </row>
    <row r="16" ht="14" customFormat="1" customHeight="1" s="2" thickBot="1">
      <c r="B16" s="94" t="inlineStr">
        <is>
          <t>Type</t>
        </is>
      </c>
      <c r="C16" s="95" t="inlineStr">
        <is>
          <t>Account Number</t>
        </is>
      </c>
      <c r="D16" s="95" t="inlineStr">
        <is>
          <t>Name</t>
        </is>
      </c>
      <c r="E16" s="95" t="inlineStr">
        <is>
          <t>Amount</t>
        </is>
      </c>
      <c r="F16" s="96" t="inlineStr">
        <is>
          <t>Value</t>
        </is>
      </c>
    </row>
    <row r="17">
      <c r="B17" s="91" t="inlineStr">
        <is>
          <t>DR</t>
        </is>
      </c>
      <c r="C17" s="156" t="n">
        <v>10120004</v>
      </c>
      <c r="D17" s="92" t="inlineStr">
        <is>
          <t>Float Account - Agent Banking</t>
        </is>
      </c>
      <c r="E17" s="92" t="inlineStr">
        <is>
          <t>Tranx Amt + Total Fees + VAT</t>
        </is>
      </c>
      <c r="F17" s="741" t="inlineStr">
        <is>
          <t>Nxxx + N20.00</t>
        </is>
      </c>
      <c r="G17" s="733">
        <f>G7</f>
        <v/>
      </c>
    </row>
    <row r="18" ht="40.5" customHeight="1" s="581">
      <c r="B18" s="85" t="inlineStr">
        <is>
          <t>CR</t>
        </is>
      </c>
      <c r="C18" s="156" t="n">
        <v>20070068</v>
      </c>
      <c r="D18" s="123" t="inlineStr">
        <is>
          <t>Commission_Cashback Payable For Bank9ja Business</t>
        </is>
      </c>
      <c r="E18" s="123" t="inlineStr">
        <is>
          <t>Cashback Amount</t>
        </is>
      </c>
      <c r="F18" s="741" t="inlineStr">
        <is>
          <t>IF (Silver Agent = N4.00)
IF (Gold Agent = (N6.00)
IF (Platinum Agent (N8.00)</t>
        </is>
      </c>
      <c r="G18" s="733" t="n">
        <v>4</v>
      </c>
    </row>
    <row r="19">
      <c r="B19" s="91" t="inlineStr">
        <is>
          <t>CR</t>
        </is>
      </c>
      <c r="C19" s="395" t="inlineStr">
        <is>
          <t>XXXXXXXXXX</t>
        </is>
      </c>
      <c r="D19" s="92" t="inlineStr">
        <is>
          <t>Beneficiary's Account in 9PSB</t>
        </is>
      </c>
      <c r="E19" s="92" t="inlineStr">
        <is>
          <t>Tranx Amt</t>
        </is>
      </c>
      <c r="F19" s="355" t="inlineStr">
        <is>
          <t>Nxxx</t>
        </is>
      </c>
      <c r="G19" s="772">
        <f>H5</f>
        <v/>
      </c>
    </row>
    <row r="20" ht="40.5" customFormat="1" customHeight="1" s="281">
      <c r="B20" s="279" t="inlineStr">
        <is>
          <t>CR</t>
        </is>
      </c>
      <c r="C20" s="282" t="n">
        <v>40060022</v>
      </c>
      <c r="D20" s="283" t="inlineStr">
        <is>
          <t>Revenue from Cashin - Agent</t>
        </is>
      </c>
      <c r="E20" s="283" t="inlineStr">
        <is>
          <t>Fees due to 9PSB</t>
        </is>
      </c>
      <c r="F20" s="741" t="inlineStr">
        <is>
          <t>IF (Silver Agent = N14.88)
IF (Gold Agent = (N13.02)
IF (Platinum Agent (N11.16)</t>
        </is>
      </c>
      <c r="G20" s="773" t="n">
        <v>14.88</v>
      </c>
    </row>
    <row r="21" ht="41" customFormat="1" customHeight="1" s="281" thickBot="1">
      <c r="B21" s="284" t="inlineStr">
        <is>
          <t>CR</t>
        </is>
      </c>
      <c r="C21" s="285" t="n">
        <v>20070049</v>
      </c>
      <c r="D21" s="286" t="inlineStr">
        <is>
          <t>VAT - Output</t>
        </is>
      </c>
      <c r="E21" s="286" t="inlineStr">
        <is>
          <t>VAT on Fees due to 9PSB</t>
        </is>
      </c>
      <c r="F21" s="743" t="inlineStr">
        <is>
          <t>IF (Silver Agent = N1.12)
IF (Gold Agent = N0.98)
IF (Platinum Agent = N0.84)</t>
        </is>
      </c>
      <c r="G21" s="773" t="n">
        <v>1.12</v>
      </c>
    </row>
    <row r="25" ht="14" customHeight="1" s="581" thickBot="1">
      <c r="A25" s="354" t="inlineStr">
        <is>
          <t>Scenario 2</t>
        </is>
      </c>
      <c r="B25" s="354" t="inlineStr">
        <is>
          <t>Where</t>
        </is>
      </c>
      <c r="C25" s="354" t="inlineStr">
        <is>
          <t>Amount : N10,000 &amp; Above</t>
        </is>
      </c>
    </row>
    <row r="26" ht="14" customHeight="1" s="581" thickBot="1">
      <c r="B26" s="579" t="inlineStr">
        <is>
          <t>On Elkanah Platform</t>
        </is>
      </c>
      <c r="C26" s="573" t="n"/>
      <c r="D26" s="573" t="n"/>
      <c r="E26" s="573" t="n"/>
      <c r="F26" s="574" t="n"/>
    </row>
    <row r="27" ht="14" customFormat="1" customHeight="1" s="2" thickBot="1">
      <c r="B27" s="94" t="inlineStr">
        <is>
          <t>Type</t>
        </is>
      </c>
      <c r="C27" s="95" t="inlineStr">
        <is>
          <t>Account Number</t>
        </is>
      </c>
      <c r="D27" s="95" t="inlineStr">
        <is>
          <t>Name</t>
        </is>
      </c>
      <c r="E27" s="95" t="inlineStr">
        <is>
          <t>Amount</t>
        </is>
      </c>
      <c r="F27" s="96" t="inlineStr">
        <is>
          <t>Value</t>
        </is>
      </c>
    </row>
    <row r="28">
      <c r="B28" s="98" t="inlineStr">
        <is>
          <t>DR</t>
        </is>
      </c>
      <c r="C28" s="83" t="inlineStr">
        <is>
          <t xml:space="preserve">YYYYYYYYYY  </t>
        </is>
      </c>
      <c r="D28" s="83" t="inlineStr">
        <is>
          <t>Agent's Wallet</t>
        </is>
      </c>
      <c r="E28" s="83" t="inlineStr">
        <is>
          <t>Tranx Amt + Total Fees + VAT</t>
        </is>
      </c>
      <c r="F28" s="192" t="inlineStr">
        <is>
          <t>Nxxx + N20.00</t>
        </is>
      </c>
    </row>
    <row r="29" ht="40.5" customHeight="1" s="581">
      <c r="B29" s="85" t="inlineStr">
        <is>
          <t>CR</t>
        </is>
      </c>
      <c r="C29" s="81" t="inlineStr">
        <is>
          <t>EEEEEEEE</t>
        </is>
      </c>
      <c r="D29" s="124" t="inlineStr">
        <is>
          <t>Elkanah's Wallet Suspense Account</t>
        </is>
      </c>
      <c r="E29" s="124" t="inlineStr">
        <is>
          <t>Tranx Amt</t>
        </is>
      </c>
      <c r="F29" s="741" t="inlineStr">
        <is>
          <t>IF (Silver Agent = Nxxx + N16.00)
IF (Gold Agent = Nxxx + N14.00)
IF (Platinum Agent = Nxxx + N12.00)</t>
        </is>
      </c>
    </row>
    <row r="30">
      <c r="B30" s="85" t="inlineStr">
        <is>
          <t>CR</t>
        </is>
      </c>
      <c r="C30" s="81" t="inlineStr">
        <is>
          <t>SLPSLPSLP</t>
        </is>
      </c>
      <c r="D30" s="81" t="inlineStr">
        <is>
          <t>SLP Commission Wallet</t>
        </is>
      </c>
      <c r="E30" s="81" t="inlineStr">
        <is>
          <t>Comm. Due to SLP (where applicable)</t>
        </is>
      </c>
      <c r="F30" s="744" t="n">
        <v>4</v>
      </c>
      <c r="G30" s="733" t="n"/>
    </row>
    <row r="31" ht="40.5" customHeight="1" s="581">
      <c r="B31" s="91" t="inlineStr">
        <is>
          <t>CR</t>
        </is>
      </c>
      <c r="C31" s="92" t="inlineStr">
        <is>
          <t>AAAAAAAAA</t>
        </is>
      </c>
      <c r="D31" s="92" t="inlineStr">
        <is>
          <t>Agent Commission Wallet</t>
        </is>
      </c>
      <c r="E31" s="92" t="inlineStr">
        <is>
          <t>Cashback on cashout fee (where applicable)</t>
        </is>
      </c>
      <c r="F31" s="741" t="inlineStr">
        <is>
          <t>IF (Silver Agent, cashback = 0)
IF (Gold Agent, cashback = (N2.00)
IF (Platinum Agent, cashback = (N4.00)</t>
        </is>
      </c>
      <c r="G31" s="733" t="n"/>
    </row>
    <row r="32">
      <c r="B32" s="91" t="inlineStr">
        <is>
          <t>DR</t>
        </is>
      </c>
      <c r="C32" s="92" t="inlineStr">
        <is>
          <t xml:space="preserve">YYYYYYYYYY  </t>
        </is>
      </c>
      <c r="D32" s="92" t="inlineStr">
        <is>
          <t>Agent's Wallet</t>
        </is>
      </c>
      <c r="E32" s="92" t="inlineStr">
        <is>
          <t xml:space="preserve">Stamp Duty Charge   </t>
        </is>
      </c>
      <c r="F32" s="745" t="n">
        <v>50</v>
      </c>
      <c r="G32" s="733" t="n"/>
    </row>
    <row r="33" ht="14" customHeight="1" s="581" thickBot="1">
      <c r="B33" s="101" t="inlineStr">
        <is>
          <t>CR</t>
        </is>
      </c>
      <c r="C33" s="102" t="inlineStr">
        <is>
          <t>EEEEEEEE</t>
        </is>
      </c>
      <c r="D33" s="102" t="inlineStr">
        <is>
          <t>Elkanah's Wallet Suspense Account</t>
        </is>
      </c>
      <c r="E33" s="89" t="inlineStr">
        <is>
          <t>Stamp Duty Charge</t>
        </is>
      </c>
      <c r="F33" s="746" t="n">
        <v>50</v>
      </c>
      <c r="G33" s="733" t="n"/>
    </row>
    <row r="34">
      <c r="B34" s="163" t="inlineStr">
        <is>
          <t>Note: SLPSLPSLP is a varying SLP commission wallets on Elkanah. This is the wallet of the SLP which the transacting Agent's Main Wallet is mapped to. Where an Agent has no SLP, the commission is credited to the Bank</t>
        </is>
      </c>
      <c r="I34" s="731" t="n"/>
    </row>
    <row r="36">
      <c r="B36" s="104" t="inlineStr">
        <is>
          <t>Call FT API, if unsuccessful, reverse the entries on Elkanah's end but if successful, proceed to post the entries on the core banking (Note: If for any reason, the core banking is down, put a process in place for retry up to 5 times)</t>
        </is>
      </c>
    </row>
    <row r="37">
      <c r="B37" s="104" t="n"/>
    </row>
    <row r="38" ht="14" customHeight="1" s="581" thickBot="1">
      <c r="B38" s="594" t="inlineStr">
        <is>
          <t>On the Core Banking System</t>
        </is>
      </c>
      <c r="C38" s="570" t="n"/>
      <c r="D38" s="570" t="n"/>
    </row>
    <row r="39" ht="14" customFormat="1" customHeight="1" s="2" thickBot="1">
      <c r="B39" s="94" t="inlineStr">
        <is>
          <t>Type</t>
        </is>
      </c>
      <c r="C39" s="95" t="inlineStr">
        <is>
          <t>Account Number</t>
        </is>
      </c>
      <c r="D39" s="95" t="inlineStr">
        <is>
          <t>Name</t>
        </is>
      </c>
      <c r="E39" s="95" t="inlineStr">
        <is>
          <t>Amount</t>
        </is>
      </c>
      <c r="F39" s="96" t="inlineStr">
        <is>
          <t>Value</t>
        </is>
      </c>
    </row>
    <row r="40">
      <c r="B40" s="98" t="inlineStr">
        <is>
          <t>DR</t>
        </is>
      </c>
      <c r="C40" s="108" t="n">
        <v>10120004</v>
      </c>
      <c r="D40" s="83" t="inlineStr">
        <is>
          <t>Float Account - Agent Banking</t>
        </is>
      </c>
      <c r="E40" s="83" t="inlineStr">
        <is>
          <t xml:space="preserve">Tranx Amt </t>
        </is>
      </c>
      <c r="F40" s="747" t="inlineStr">
        <is>
          <t>Nxxx + N70.00</t>
        </is>
      </c>
    </row>
    <row r="41">
      <c r="B41" s="85" t="inlineStr">
        <is>
          <t>CR</t>
        </is>
      </c>
      <c r="C41" s="156" t="n">
        <v>20070043</v>
      </c>
      <c r="D41" s="92" t="inlineStr">
        <is>
          <t>ELECTRONIC MONEY TRANSFER LEVY (STAMP DUTY)</t>
        </is>
      </c>
      <c r="E41" s="92" t="inlineStr">
        <is>
          <t xml:space="preserve">Stamp Duty Charge </t>
        </is>
      </c>
      <c r="F41" s="748" t="n">
        <v>50</v>
      </c>
    </row>
    <row r="42" ht="40.5" customHeight="1" s="581">
      <c r="B42" s="85" t="inlineStr">
        <is>
          <t>CR</t>
        </is>
      </c>
      <c r="C42" s="156" t="n">
        <v>20070068</v>
      </c>
      <c r="D42" s="123" t="inlineStr">
        <is>
          <t>Commission_Cashback Payable For Bank9ja Business</t>
        </is>
      </c>
      <c r="E42" s="123" t="inlineStr">
        <is>
          <t>Cashback Amount</t>
        </is>
      </c>
      <c r="F42" s="741" t="inlineStr">
        <is>
          <t>IF (Silver Agent = N4.00)
IF (Gold Agent = (N6.00)
IF (Platinum Agent (N8.00)</t>
        </is>
      </c>
      <c r="G42" s="733" t="n"/>
    </row>
    <row r="43">
      <c r="B43" s="91" t="inlineStr">
        <is>
          <t>CR</t>
        </is>
      </c>
      <c r="C43" s="396" t="inlineStr">
        <is>
          <t>XXXXXXXXXX</t>
        </is>
      </c>
      <c r="D43" s="92" t="inlineStr">
        <is>
          <t>Beneficiary's Account in 9PSB</t>
        </is>
      </c>
      <c r="E43" s="92" t="inlineStr">
        <is>
          <t>Tranx Amt</t>
        </is>
      </c>
      <c r="F43" s="355" t="inlineStr">
        <is>
          <t>Nxxx</t>
        </is>
      </c>
    </row>
    <row r="44" ht="40.5" customFormat="1" customHeight="1" s="281">
      <c r="B44" s="279" t="inlineStr">
        <is>
          <t>CR</t>
        </is>
      </c>
      <c r="C44" s="282" t="n">
        <v>40060022</v>
      </c>
      <c r="D44" s="283" t="inlineStr">
        <is>
          <t>Revenue from Cashin - Agent</t>
        </is>
      </c>
      <c r="E44" s="283" t="inlineStr">
        <is>
          <t>Fees due to 9PSB</t>
        </is>
      </c>
      <c r="F44" s="741" t="inlineStr">
        <is>
          <t>IF (Silver Agent = N14.88)
IF (Gold Agent = (N13.02)
IF (Platinum Agent (N11.16)</t>
        </is>
      </c>
    </row>
    <row r="45" ht="41" customFormat="1" customHeight="1" s="281" thickBot="1">
      <c r="B45" s="284" t="inlineStr">
        <is>
          <t>CR</t>
        </is>
      </c>
      <c r="C45" s="285" t="n">
        <v>20070049</v>
      </c>
      <c r="D45" s="286" t="inlineStr">
        <is>
          <t>VAT - Output</t>
        </is>
      </c>
      <c r="E45" s="286" t="inlineStr">
        <is>
          <t>VAT on Fees due to 9PSB</t>
        </is>
      </c>
      <c r="F45" s="743" t="inlineStr">
        <is>
          <t>IF (Silver Agent = N1.12)
IF (Gold Agent = N0.98)
IF (Platinum Agent = N0.84)</t>
        </is>
      </c>
    </row>
    <row r="46" customFormat="1" s="281">
      <c r="C46" s="356" t="n"/>
      <c r="F46" s="749" t="n"/>
    </row>
    <row r="47" customFormat="1" s="281">
      <c r="C47" s="356" t="n"/>
      <c r="F47" s="749" t="n"/>
    </row>
    <row r="49" ht="14" customHeight="1" s="581" thickBot="1">
      <c r="A49" s="142" t="n"/>
      <c r="B49" s="689" t="inlineStr">
        <is>
          <t>Agent classification based on transaction volume (count)</t>
        </is>
      </c>
      <c r="C49" s="666" t="n"/>
      <c r="D49" s="665" t="n"/>
      <c r="E49" s="666" t="n"/>
      <c r="J49" s="661" t="n"/>
    </row>
    <row r="50">
      <c r="A50" s="142" t="n"/>
      <c r="B50" s="750" t="inlineStr">
        <is>
          <t>Category</t>
        </is>
      </c>
      <c r="C50" s="751" t="inlineStr">
        <is>
          <t>Transfer Charge</t>
        </is>
      </c>
      <c r="D50" s="752" t="inlineStr">
        <is>
          <t>Remarks</t>
        </is>
      </c>
      <c r="I50" s="661" t="n"/>
    </row>
    <row r="51">
      <c r="A51" s="142" t="n"/>
      <c r="B51" s="679" t="inlineStr">
        <is>
          <t xml:space="preserve">Silver </t>
        </is>
      </c>
      <c r="C51" s="460" t="n">
        <v>20</v>
      </c>
      <c r="D51" s="683" t="inlineStr">
        <is>
          <t>No Cashback</t>
        </is>
      </c>
      <c r="I51" s="661" t="n"/>
    </row>
    <row r="52">
      <c r="A52" s="142" t="n"/>
      <c r="B52" s="679" t="inlineStr">
        <is>
          <t xml:space="preserve">Gold </t>
        </is>
      </c>
      <c r="C52" s="460" t="n">
        <v>20</v>
      </c>
      <c r="D52" s="683" t="inlineStr">
        <is>
          <t>10% Cashback on Fees</t>
        </is>
      </c>
      <c r="E52" s="658" t="n"/>
      <c r="I52" s="661" t="n"/>
    </row>
    <row r="53" ht="14" customHeight="1" s="581" thickBot="1">
      <c r="A53" s="142" t="n"/>
      <c r="B53" s="684" t="inlineStr">
        <is>
          <t xml:space="preserve">Platinum </t>
        </is>
      </c>
      <c r="C53" s="466" t="n">
        <v>20</v>
      </c>
      <c r="D53" s="688" t="inlineStr">
        <is>
          <t>20% Cashback on Fees</t>
        </is>
      </c>
      <c r="I53" s="661" t="n"/>
    </row>
    <row r="54" ht="14" customHeight="1" s="581" thickBot="1">
      <c r="A54" s="142" t="n"/>
      <c r="B54" s="689" t="n"/>
      <c r="C54" s="666" t="n"/>
      <c r="D54" s="665" t="n"/>
      <c r="E54" s="666" t="n"/>
      <c r="G54" s="258" t="n"/>
      <c r="J54" s="661" t="n"/>
    </row>
    <row r="55" customFormat="1" s="2">
      <c r="A55" s="143" t="n"/>
      <c r="B55" s="750" t="inlineStr">
        <is>
          <t>Where</t>
        </is>
      </c>
      <c r="C55" s="756" t="inlineStr">
        <is>
          <t>Card Withdrawal Tranx/Month</t>
        </is>
      </c>
      <c r="D55" s="738" t="n"/>
      <c r="E55" s="739" t="n"/>
      <c r="J55" s="660" t="n"/>
    </row>
    <row r="56">
      <c r="A56" s="142" t="n"/>
      <c r="B56" s="679" t="inlineStr">
        <is>
          <t xml:space="preserve">Silver </t>
        </is>
      </c>
      <c r="C56" s="757" t="inlineStr">
        <is>
          <t>1-199</t>
        </is>
      </c>
      <c r="D56" s="665" t="n"/>
      <c r="E56" s="666" t="n"/>
      <c r="J56" s="661" t="n"/>
    </row>
    <row r="57">
      <c r="A57" s="142" t="n"/>
      <c r="B57" s="679" t="inlineStr">
        <is>
          <t>Gold</t>
        </is>
      </c>
      <c r="C57" s="758" t="inlineStr">
        <is>
          <t>200-499</t>
        </is>
      </c>
      <c r="D57" s="665" t="n"/>
      <c r="E57" s="666" t="n"/>
      <c r="J57" s="661" t="n"/>
    </row>
    <row r="58" ht="14" customHeight="1" s="581" thickBot="1">
      <c r="A58" s="142" t="n"/>
      <c r="B58" s="684" t="inlineStr">
        <is>
          <t>Platinum</t>
        </is>
      </c>
      <c r="C58" s="759" t="inlineStr">
        <is>
          <t>500 &amp; above</t>
        </is>
      </c>
      <c r="D58" s="665" t="n"/>
      <c r="E58" s="666" t="n"/>
      <c r="J58" s="661" t="n"/>
    </row>
    <row r="59">
      <c r="A59" s="142" t="n"/>
      <c r="B59" s="689" t="n"/>
      <c r="C59" s="666" t="n"/>
      <c r="D59" s="665" t="n"/>
      <c r="E59" s="666" t="n"/>
      <c r="J59" s="661" t="n"/>
    </row>
    <row r="60" ht="48" customHeight="1" s="581">
      <c r="A60" s="142" t="n"/>
      <c r="B60" s="740" t="inlineStr">
        <is>
          <t>Notes: 
(a) This classification will be automatically updated at the end of each month
(b) Cashback will be instantly credited into the Agent's Commission wallet</t>
        </is>
      </c>
      <c r="F60" s="666" t="n"/>
    </row>
  </sheetData>
  <mergeCells count="6">
    <mergeCell ref="B4:F4"/>
    <mergeCell ref="B1:E1"/>
    <mergeCell ref="B15:D15"/>
    <mergeCell ref="B26:F26"/>
    <mergeCell ref="B38:D38"/>
    <mergeCell ref="B60:E60"/>
  </mergeCells>
  <pageMargins left="0.7086614173228347" right="0.7086614173228347" top="0.7480314960629921" bottom="0.7480314960629921" header="0.3149606299212598" footer="0.3149606299212598"/>
  <pageSetup orientation="portrait" paperSize="9" scale="70"/>
</worksheet>
</file>

<file path=xl/worksheets/sheet16.xml><?xml version="1.0" encoding="utf-8"?>
<worksheet xmlns="http://schemas.openxmlformats.org/spreadsheetml/2006/main">
  <sheetPr>
    <tabColor theme="5"/>
    <outlinePr summaryBelow="1" summaryRight="1"/>
    <pageSetUpPr fitToPage="1"/>
  </sheetPr>
  <dimension ref="A1:J61"/>
  <sheetViews>
    <sheetView zoomScale="80" zoomScaleNormal="80" workbookViewId="0">
      <selection activeCell="D21" sqref="D21"/>
    </sheetView>
  </sheetViews>
  <sheetFormatPr baseColWidth="8" defaultColWidth="12.1796875" defaultRowHeight="13.5"/>
  <cols>
    <col width="7.81640625" customWidth="1" style="563" min="1" max="1"/>
    <col width="16" customWidth="1" style="563" min="2" max="2"/>
    <col width="26.7265625" customWidth="1" style="563" min="3" max="3"/>
    <col width="51.54296875" bestFit="1" customWidth="1" style="563" min="4" max="4"/>
    <col width="44.54296875" customWidth="1" style="563" min="5" max="5"/>
    <col width="61.81640625" customWidth="1" style="563" min="6" max="6"/>
    <col width="12.1796875" customWidth="1" style="563" min="7" max="7"/>
    <col width="12.1796875" customWidth="1" style="563" min="8" max="16384"/>
  </cols>
  <sheetData>
    <row r="1">
      <c r="B1" s="589" t="inlineStr">
        <is>
          <t>TRANSACTION TYPE : TRANSFER TO OTHER BANKS VIA NIP : Total Fees + VAT : N20.00</t>
        </is>
      </c>
    </row>
    <row r="3" ht="14" customHeight="1" s="581" thickBot="1">
      <c r="A3" s="354" t="inlineStr">
        <is>
          <t>Scenario 1</t>
        </is>
      </c>
      <c r="B3" s="354" t="inlineStr">
        <is>
          <t>Where</t>
        </is>
      </c>
      <c r="C3" s="354" t="inlineStr">
        <is>
          <t>Amount : N1 - N9,999</t>
        </is>
      </c>
    </row>
    <row r="4" ht="14" customHeight="1" s="581" thickBot="1">
      <c r="B4" s="579" t="inlineStr">
        <is>
          <t>On Elkanah Platform</t>
        </is>
      </c>
      <c r="C4" s="573" t="n"/>
      <c r="D4" s="573" t="n"/>
      <c r="E4" s="573" t="n"/>
      <c r="F4" s="574" t="n"/>
    </row>
    <row r="5" ht="14" customFormat="1" customHeight="1" s="2" thickBot="1">
      <c r="B5" s="94" t="inlineStr">
        <is>
          <t>Type</t>
        </is>
      </c>
      <c r="C5" s="95" t="inlineStr">
        <is>
          <t>Account Number</t>
        </is>
      </c>
      <c r="D5" s="95" t="inlineStr">
        <is>
          <t>Name</t>
        </is>
      </c>
      <c r="E5" s="95" t="inlineStr">
        <is>
          <t>Amount</t>
        </is>
      </c>
      <c r="F5" s="96" t="inlineStr">
        <is>
          <t>Value</t>
        </is>
      </c>
    </row>
    <row r="6">
      <c r="B6" s="98" t="inlineStr">
        <is>
          <t>DR</t>
        </is>
      </c>
      <c r="C6" s="83" t="inlineStr">
        <is>
          <t xml:space="preserve">YYYYYYYYYY  </t>
        </is>
      </c>
      <c r="D6" s="83" t="inlineStr">
        <is>
          <t>Agent's Wallet</t>
        </is>
      </c>
      <c r="E6" s="83" t="inlineStr">
        <is>
          <t>Tranx Amt + Total Fees + VAT</t>
        </is>
      </c>
      <c r="F6" s="192" t="inlineStr">
        <is>
          <t>Nxxx + N20.00</t>
        </is>
      </c>
    </row>
    <row r="7" ht="40.5" customHeight="1" s="581">
      <c r="B7" s="85" t="inlineStr">
        <is>
          <t>CR</t>
        </is>
      </c>
      <c r="C7" s="81" t="inlineStr">
        <is>
          <t>EEEEEEEE</t>
        </is>
      </c>
      <c r="D7" s="124" t="inlineStr">
        <is>
          <t>Elkanah's Wallet Suspense Account</t>
        </is>
      </c>
      <c r="E7" s="124" t="inlineStr">
        <is>
          <t>Tranx Amt</t>
        </is>
      </c>
      <c r="F7" s="741" t="inlineStr">
        <is>
          <t>IF (Silver Agent = Nxxx + N16.00)
IF (Gold Agent = Nxxx + N14.00)
IF (Platinum Agent = Nxxx + N12.00)</t>
        </is>
      </c>
    </row>
    <row r="8">
      <c r="B8" s="91" t="inlineStr">
        <is>
          <t>CR</t>
        </is>
      </c>
      <c r="C8" s="92" t="inlineStr">
        <is>
          <t>SLPSLPSLP</t>
        </is>
      </c>
      <c r="D8" s="92" t="inlineStr">
        <is>
          <t>SLP Commission Wallet</t>
        </is>
      </c>
      <c r="E8" s="81" t="inlineStr">
        <is>
          <t>Comm. Due to SLP (where applicable)</t>
        </is>
      </c>
      <c r="F8" s="753" t="n">
        <v>4</v>
      </c>
      <c r="G8" s="733" t="n"/>
    </row>
    <row r="9" ht="41" customHeight="1" s="581" thickBot="1">
      <c r="B9" s="101" t="inlineStr">
        <is>
          <t>CR</t>
        </is>
      </c>
      <c r="C9" s="102" t="inlineStr">
        <is>
          <t>AAAAAAAAA</t>
        </is>
      </c>
      <c r="D9" s="102" t="inlineStr">
        <is>
          <t>Agent Commission Wallet</t>
        </is>
      </c>
      <c r="E9" s="102" t="inlineStr">
        <is>
          <t>Cashback on cashout fee (where applicable)</t>
        </is>
      </c>
      <c r="F9" s="743" t="inlineStr">
        <is>
          <t>IF (Silver Agent, cashback = 0)
IF (Gold Agent, cashback = (N2.00)
IF (Platinum Agent, cashback = (N4.00)</t>
        </is>
      </c>
      <c r="G9" s="733" t="n"/>
    </row>
    <row r="10">
      <c r="B10" s="163" t="inlineStr">
        <is>
          <t>Note: SLPSLPSLP is a varying SLP commission wallets on Elkanah. This is the wallet of the SLP which the transacting Agent's Main Wallet is mapped to. Where an Agent has no SLP the commission is credited to the Bank</t>
        </is>
      </c>
      <c r="I10" s="731" t="n"/>
    </row>
    <row r="12">
      <c r="B12" s="104" t="inlineStr">
        <is>
          <t>Call FT API, if unsuccessful, reverse the entries on Elkanah's end but if successful, proceed to post the entries on the core banking (Note: If for any reason, the core banking is down, put a process in place for retry up to 5 times)</t>
        </is>
      </c>
    </row>
    <row r="13">
      <c r="B13" s="104" t="n"/>
    </row>
    <row r="14" ht="14" customHeight="1" s="581" thickBot="1">
      <c r="B14" s="594" t="inlineStr">
        <is>
          <t>On the Core Banking System</t>
        </is>
      </c>
      <c r="C14" s="570" t="n"/>
      <c r="D14" s="570" t="n"/>
    </row>
    <row r="15" ht="14" customFormat="1" customHeight="1" s="2" thickBot="1">
      <c r="B15" s="105" t="inlineStr">
        <is>
          <t>Type</t>
        </is>
      </c>
      <c r="C15" s="106" t="inlineStr">
        <is>
          <t>Account Number</t>
        </is>
      </c>
      <c r="D15" s="106" t="inlineStr">
        <is>
          <t>Name</t>
        </is>
      </c>
      <c r="E15" s="106" t="inlineStr">
        <is>
          <t>Amount</t>
        </is>
      </c>
      <c r="F15" s="107" t="inlineStr">
        <is>
          <t>Value</t>
        </is>
      </c>
    </row>
    <row r="16">
      <c r="B16" s="98" t="inlineStr">
        <is>
          <t>DR</t>
        </is>
      </c>
      <c r="C16" s="108" t="n">
        <v>10120004</v>
      </c>
      <c r="D16" s="83" t="inlineStr">
        <is>
          <t>Float Account - Agent Banking</t>
        </is>
      </c>
      <c r="E16" s="83" t="inlineStr">
        <is>
          <t>Tranx Amt + Total Fees + VAT</t>
        </is>
      </c>
      <c r="F16" s="192" t="inlineStr">
        <is>
          <t>Nxxx + N20.00</t>
        </is>
      </c>
    </row>
    <row r="17">
      <c r="B17" s="85" t="inlineStr">
        <is>
          <t>CR</t>
        </is>
      </c>
      <c r="C17" s="156" t="inlineStr">
        <is>
          <t>XXXXXXXXXX</t>
        </is>
      </c>
      <c r="D17" s="92" t="inlineStr">
        <is>
          <t>Beneficiary's Account in 9PSB</t>
        </is>
      </c>
      <c r="E17" s="92" t="inlineStr">
        <is>
          <t>Tranx Amt</t>
        </is>
      </c>
      <c r="F17" s="195" t="inlineStr">
        <is>
          <t>Nxxx</t>
        </is>
      </c>
    </row>
    <row r="18" ht="40.5" customHeight="1" s="581">
      <c r="B18" s="85" t="inlineStr">
        <is>
          <t>CR</t>
        </is>
      </c>
      <c r="C18" s="156" t="n">
        <v>20070068</v>
      </c>
      <c r="D18" s="123" t="inlineStr">
        <is>
          <t>Commission_Cashback Payable For Bank9ja Business</t>
        </is>
      </c>
      <c r="E18" s="123" t="inlineStr">
        <is>
          <t>Cashback Amount</t>
        </is>
      </c>
      <c r="F18" s="741" t="inlineStr">
        <is>
          <t>IF (Silver Agent = N4.00)
IF (Gold Agent = (N6.00)
IF (Platinum Agent (N8.00)</t>
        </is>
      </c>
      <c r="G18" s="658" t="n"/>
    </row>
    <row r="19">
      <c r="B19" s="85" t="inlineStr">
        <is>
          <t>CR</t>
        </is>
      </c>
      <c r="C19" s="156" t="n">
        <v>20070026</v>
      </c>
      <c r="D19" s="92" t="inlineStr">
        <is>
          <t>NIBSS Fees Transactions</t>
        </is>
      </c>
      <c r="E19" s="92" t="inlineStr">
        <is>
          <t>NIP Switching Cost</t>
        </is>
      </c>
      <c r="F19" s="741" t="n">
        <v>2.15</v>
      </c>
      <c r="G19" s="658" t="n"/>
    </row>
    <row r="20" ht="40.5" customFormat="1" customHeight="1" s="281">
      <c r="B20" s="279" t="inlineStr">
        <is>
          <t>CR</t>
        </is>
      </c>
      <c r="C20" s="282" t="n">
        <v>40060022</v>
      </c>
      <c r="D20" s="283" t="inlineStr">
        <is>
          <t>Revenue from Cashin - Agent</t>
        </is>
      </c>
      <c r="E20" s="283" t="inlineStr">
        <is>
          <t>Fees due to 9PSB</t>
        </is>
      </c>
      <c r="F20" s="741" t="inlineStr">
        <is>
          <t>IF (Silver Agent = N12.88)
IF (Gold Agent = (N11.02)
IF (Platinum Agent (N9.16)</t>
        </is>
      </c>
      <c r="H20" s="754" t="n"/>
    </row>
    <row r="21" ht="41" customFormat="1" customHeight="1" s="281" thickBot="1">
      <c r="B21" s="284" t="inlineStr">
        <is>
          <t>CR</t>
        </is>
      </c>
      <c r="C21" s="285" t="n">
        <v>20070049</v>
      </c>
      <c r="D21" s="286" t="inlineStr">
        <is>
          <t>VAT - Output</t>
        </is>
      </c>
      <c r="E21" s="286" t="inlineStr">
        <is>
          <t>VAT on Fees due to 9PSB</t>
        </is>
      </c>
      <c r="F21" s="743" t="inlineStr">
        <is>
          <t>IF (Silver Agent = N0.97)
IF (Gold Agent = N0.83)
IF (Platinum Agent = N0.69)</t>
        </is>
      </c>
    </row>
    <row r="25" ht="26" customHeight="1" s="581" thickBot="1">
      <c r="A25" s="354" t="inlineStr">
        <is>
          <t>Scenario 2</t>
        </is>
      </c>
      <c r="B25" s="354" t="inlineStr">
        <is>
          <t>Where</t>
        </is>
      </c>
      <c r="C25" s="354" t="inlineStr">
        <is>
          <t>Amount : N10,000 &amp; Above</t>
        </is>
      </c>
    </row>
    <row r="26" ht="14" customHeight="1" s="581" thickBot="1">
      <c r="B26" s="579" t="inlineStr">
        <is>
          <t>On Elkanah Platform</t>
        </is>
      </c>
      <c r="C26" s="573" t="n"/>
      <c r="D26" s="573" t="n"/>
      <c r="E26" s="573" t="n"/>
      <c r="F26" s="574" t="n"/>
    </row>
    <row r="27" ht="14" customFormat="1" customHeight="1" s="2" thickBot="1">
      <c r="B27" s="94" t="inlineStr">
        <is>
          <t>Type</t>
        </is>
      </c>
      <c r="C27" s="95" t="inlineStr">
        <is>
          <t>Account Number</t>
        </is>
      </c>
      <c r="D27" s="95" t="inlineStr">
        <is>
          <t>Name</t>
        </is>
      </c>
      <c r="E27" s="95" t="inlineStr">
        <is>
          <t>Amount</t>
        </is>
      </c>
      <c r="F27" s="96" t="inlineStr">
        <is>
          <t>Value</t>
        </is>
      </c>
    </row>
    <row r="28">
      <c r="B28" s="98" t="inlineStr">
        <is>
          <t>DR</t>
        </is>
      </c>
      <c r="C28" s="83" t="inlineStr">
        <is>
          <t xml:space="preserve">YYYYYYYYYY  </t>
        </is>
      </c>
      <c r="D28" s="83" t="inlineStr">
        <is>
          <t>Agent's Wallet</t>
        </is>
      </c>
      <c r="E28" s="83" t="inlineStr">
        <is>
          <t>Tranx Amt + Total Fees + VAT</t>
        </is>
      </c>
      <c r="F28" s="192" t="inlineStr">
        <is>
          <t>Nxxx + N20.00</t>
        </is>
      </c>
    </row>
    <row r="29" ht="40.5" customHeight="1" s="581">
      <c r="B29" s="85" t="inlineStr">
        <is>
          <t>CR</t>
        </is>
      </c>
      <c r="C29" s="81" t="inlineStr">
        <is>
          <t>EEEEEEEE</t>
        </is>
      </c>
      <c r="D29" s="124" t="inlineStr">
        <is>
          <t>Elkanah's Wallet Suspense Account</t>
        </is>
      </c>
      <c r="E29" s="124" t="inlineStr">
        <is>
          <t>Tranx Amt</t>
        </is>
      </c>
      <c r="F29" s="741" t="inlineStr">
        <is>
          <t>IF (Silver Agent = Nxxx + N16.00)
IF (Gold Agent = Nxxx + N14.00)
IF (Platinum Agent = Nxxx + N12.00)</t>
        </is>
      </c>
    </row>
    <row r="30">
      <c r="B30" s="91" t="inlineStr">
        <is>
          <t>CR</t>
        </is>
      </c>
      <c r="C30" s="92" t="inlineStr">
        <is>
          <t>SLPSLPSLP</t>
        </is>
      </c>
      <c r="D30" s="92" t="inlineStr">
        <is>
          <t>SLP Commission Wallet</t>
        </is>
      </c>
      <c r="E30" s="81" t="inlineStr">
        <is>
          <t>Comm. Due to SLP (where applicable)</t>
        </is>
      </c>
      <c r="F30" s="753" t="n">
        <v>4</v>
      </c>
      <c r="G30" s="733" t="n"/>
    </row>
    <row r="31" ht="40.5" customHeight="1" s="581">
      <c r="B31" s="85" t="inlineStr">
        <is>
          <t>CR</t>
        </is>
      </c>
      <c r="C31" s="81" t="inlineStr">
        <is>
          <t>AAAAAAAAA</t>
        </is>
      </c>
      <c r="D31" s="81" t="inlineStr">
        <is>
          <t>Agent Commission Wallet</t>
        </is>
      </c>
      <c r="E31" s="81" t="inlineStr">
        <is>
          <t>Cashback on cashout fee (where applicable)</t>
        </is>
      </c>
      <c r="F31" s="755" t="inlineStr">
        <is>
          <t>IF (Silver Agent, cashback = 0)
IF (Gold Agent, cashback = (N2.00)
IF (Platinum Agent, cashback = (N4.00)</t>
        </is>
      </c>
      <c r="G31" s="733" t="n"/>
    </row>
    <row r="32">
      <c r="B32" s="91" t="inlineStr">
        <is>
          <t>DR</t>
        </is>
      </c>
      <c r="C32" s="92" t="inlineStr">
        <is>
          <t xml:space="preserve">YYYYYYYYYY  </t>
        </is>
      </c>
      <c r="D32" s="92" t="inlineStr">
        <is>
          <t>Agent's Wallet</t>
        </is>
      </c>
      <c r="E32" s="92" t="inlineStr">
        <is>
          <t xml:space="preserve">Stamp Duty Charge   </t>
        </is>
      </c>
      <c r="F32" s="745" t="n">
        <v>50</v>
      </c>
      <c r="G32" s="733" t="n"/>
    </row>
    <row r="33" ht="14" customHeight="1" s="581" thickBot="1">
      <c r="B33" s="101" t="inlineStr">
        <is>
          <t>CR</t>
        </is>
      </c>
      <c r="C33" s="102" t="inlineStr">
        <is>
          <t>EEEEEEEE</t>
        </is>
      </c>
      <c r="D33" s="102" t="inlineStr">
        <is>
          <t>Elkanah's Wallet Suspense Account</t>
        </is>
      </c>
      <c r="E33" s="89" t="inlineStr">
        <is>
          <t>Stamp Duty Charge</t>
        </is>
      </c>
      <c r="F33" s="746" t="n">
        <v>50</v>
      </c>
      <c r="G33" s="733" t="n"/>
    </row>
    <row r="34">
      <c r="B34" s="163" t="inlineStr">
        <is>
          <t>Note: SLPSLPSLP is a varying SLP commission wallets on Elkanah. This is the wallet of the SLP which the transacting Agent's Main Wallet is mapped to. Where an Agent has no SLP the commission is credited to the Bank</t>
        </is>
      </c>
      <c r="I34" s="731" t="n"/>
    </row>
    <row r="36">
      <c r="B36" s="104" t="inlineStr">
        <is>
          <t>Call FT API, if unsuccessful, reverse the entries on Elkanah's end but if successful, proceed to post the entries on the core banking (Note: If for any reason, the core banking is down, put a process in place for retry up to 5 times)</t>
        </is>
      </c>
    </row>
    <row r="37">
      <c r="B37" s="104" t="n"/>
    </row>
    <row r="38" ht="14" customHeight="1" s="581" thickBot="1">
      <c r="B38" s="592" t="inlineStr">
        <is>
          <t>On the Core Banking System</t>
        </is>
      </c>
    </row>
    <row r="39" ht="14" customFormat="1" customHeight="1" s="2" thickBot="1">
      <c r="B39" s="94" t="inlineStr">
        <is>
          <t>Type</t>
        </is>
      </c>
      <c r="C39" s="95" t="inlineStr">
        <is>
          <t>Account Number</t>
        </is>
      </c>
      <c r="D39" s="95" t="inlineStr">
        <is>
          <t>Name</t>
        </is>
      </c>
      <c r="E39" s="95" t="inlineStr">
        <is>
          <t>Amount</t>
        </is>
      </c>
      <c r="F39" s="96" t="inlineStr">
        <is>
          <t>Value</t>
        </is>
      </c>
    </row>
    <row r="40">
      <c r="B40" s="98" t="inlineStr">
        <is>
          <t>DR</t>
        </is>
      </c>
      <c r="C40" s="108" t="n">
        <v>10120004</v>
      </c>
      <c r="D40" s="83" t="inlineStr">
        <is>
          <t>Float Account - Agent Banking</t>
        </is>
      </c>
      <c r="E40" s="83" t="inlineStr">
        <is>
          <t xml:space="preserve">Tranx Amt </t>
        </is>
      </c>
      <c r="F40" s="747" t="inlineStr">
        <is>
          <t>Nxxx + N70.00</t>
        </is>
      </c>
    </row>
    <row r="41">
      <c r="B41" s="85" t="inlineStr">
        <is>
          <t>CR</t>
        </is>
      </c>
      <c r="C41" s="156" t="n">
        <v>20070043</v>
      </c>
      <c r="D41" s="92" t="inlineStr">
        <is>
          <t>ELECTRONIC MONEY TRANSFER LEVY (STAMP DUTY)</t>
        </is>
      </c>
      <c r="E41" s="92" t="inlineStr">
        <is>
          <t xml:space="preserve">Stamp Duty Charge </t>
        </is>
      </c>
      <c r="F41" s="748" t="n">
        <v>50</v>
      </c>
    </row>
    <row r="42">
      <c r="B42" s="85" t="inlineStr">
        <is>
          <t>CR</t>
        </is>
      </c>
      <c r="C42" s="156" t="n">
        <v>20070026</v>
      </c>
      <c r="D42" s="92" t="inlineStr">
        <is>
          <t>NIBSS Fees Transactions</t>
        </is>
      </c>
      <c r="E42" s="92" t="inlineStr">
        <is>
          <t>NIP Switching Cost</t>
        </is>
      </c>
      <c r="F42" s="741" t="n">
        <v>2.15</v>
      </c>
      <c r="G42" s="658" t="n"/>
    </row>
    <row r="43" ht="40.5" customHeight="1" s="581">
      <c r="B43" s="85" t="inlineStr">
        <is>
          <t>CR</t>
        </is>
      </c>
      <c r="C43" s="156" t="n">
        <v>20070068</v>
      </c>
      <c r="D43" s="123" t="inlineStr">
        <is>
          <t>Commission_Cashback Payable For Bank9ja Business</t>
        </is>
      </c>
      <c r="E43" s="123" t="inlineStr">
        <is>
          <t>Cashback Amount</t>
        </is>
      </c>
      <c r="F43" s="741" t="inlineStr">
        <is>
          <t>IF (Silver Agent = N4.00)
IF (Gold Agent = (N6.00)
IF (Platinum Agent (N8.00)</t>
        </is>
      </c>
      <c r="G43" s="733" t="n"/>
    </row>
    <row r="44">
      <c r="B44" s="91" t="inlineStr">
        <is>
          <t>CR</t>
        </is>
      </c>
      <c r="C44" s="359" t="n">
        <v>20070024</v>
      </c>
      <c r="D44" s="92" t="inlineStr">
        <is>
          <t>NIP/Interbank Transaction Payable</t>
        </is>
      </c>
      <c r="E44" s="92" t="inlineStr">
        <is>
          <t>Tranx Amt</t>
        </is>
      </c>
      <c r="F44" s="355" t="inlineStr">
        <is>
          <t>Nxxx</t>
        </is>
      </c>
    </row>
    <row r="45" ht="40.5" customFormat="1" customHeight="1" s="281">
      <c r="B45" s="279" t="inlineStr">
        <is>
          <t>CR</t>
        </is>
      </c>
      <c r="C45" s="282" t="n">
        <v>40060022</v>
      </c>
      <c r="D45" s="283" t="inlineStr">
        <is>
          <t>Revenue from Cashin - Agent</t>
        </is>
      </c>
      <c r="E45" s="283" t="inlineStr">
        <is>
          <t>Fees due to 9PSB</t>
        </is>
      </c>
      <c r="F45" s="741" t="inlineStr">
        <is>
          <t>IF (Silver Agent = N12.88)
IF (Gold Agent = (N11.02)
IF (Platinum Agent (N9.16)</t>
        </is>
      </c>
    </row>
    <row r="46" ht="41" customFormat="1" customHeight="1" s="281" thickBot="1">
      <c r="B46" s="284" t="inlineStr">
        <is>
          <t>CR</t>
        </is>
      </c>
      <c r="C46" s="285" t="n">
        <v>20070049</v>
      </c>
      <c r="D46" s="286" t="inlineStr">
        <is>
          <t>VAT - Output</t>
        </is>
      </c>
      <c r="E46" s="286" t="inlineStr">
        <is>
          <t>VAT on Fees due to 9PSB</t>
        </is>
      </c>
      <c r="F46" s="743" t="inlineStr">
        <is>
          <t>IF (Silver Agent = N0.97)
IF (Gold Agent = N0.83)
IF (Platinum Agent = N0.69)</t>
        </is>
      </c>
    </row>
    <row r="47">
      <c r="B47" s="592" t="n"/>
      <c r="C47" s="592" t="n"/>
      <c r="D47" s="592" t="n"/>
    </row>
    <row r="48">
      <c r="B48" s="592" t="n"/>
      <c r="C48" s="592" t="n"/>
      <c r="D48" s="592" t="n"/>
    </row>
    <row r="49">
      <c r="B49" s="592" t="n"/>
      <c r="C49" s="592" t="n"/>
      <c r="D49" s="592" t="n"/>
    </row>
    <row r="50" ht="14" customHeight="1" s="581" thickBot="1">
      <c r="A50" s="142" t="n"/>
      <c r="B50" s="689" t="inlineStr">
        <is>
          <t>Agent classification based on transaction volume (count)</t>
        </is>
      </c>
      <c r="C50" s="666" t="n"/>
      <c r="D50" s="665" t="n"/>
      <c r="E50" s="666" t="n"/>
      <c r="J50" s="661" t="n"/>
    </row>
    <row r="51">
      <c r="A51" s="142" t="n"/>
      <c r="B51" s="750" t="inlineStr">
        <is>
          <t>Category</t>
        </is>
      </c>
      <c r="C51" s="751" t="inlineStr">
        <is>
          <t>Transfer Charge</t>
        </is>
      </c>
      <c r="D51" s="752" t="inlineStr">
        <is>
          <t>Remarks</t>
        </is>
      </c>
      <c r="I51" s="661" t="n"/>
    </row>
    <row r="52">
      <c r="A52" s="142" t="n"/>
      <c r="B52" s="679" t="inlineStr">
        <is>
          <t xml:space="preserve">Silver </t>
        </is>
      </c>
      <c r="C52" s="460" t="n">
        <v>20</v>
      </c>
      <c r="D52" s="683" t="inlineStr">
        <is>
          <t>No Cashback</t>
        </is>
      </c>
      <c r="I52" s="661" t="n"/>
    </row>
    <row r="53">
      <c r="A53" s="142" t="n"/>
      <c r="B53" s="679" t="inlineStr">
        <is>
          <t xml:space="preserve">Gold </t>
        </is>
      </c>
      <c r="C53" s="460" t="n">
        <v>20</v>
      </c>
      <c r="D53" s="683" t="inlineStr">
        <is>
          <t>10% Cashback on Fees</t>
        </is>
      </c>
      <c r="E53" s="658" t="n"/>
      <c r="I53" s="661" t="n"/>
    </row>
    <row r="54" ht="14" customHeight="1" s="581" thickBot="1">
      <c r="A54" s="142" t="n"/>
      <c r="B54" s="684" t="inlineStr">
        <is>
          <t xml:space="preserve">Platinum </t>
        </is>
      </c>
      <c r="C54" s="466" t="n">
        <v>20</v>
      </c>
      <c r="D54" s="688" t="inlineStr">
        <is>
          <t>20% Cashback on Fees</t>
        </is>
      </c>
      <c r="I54" s="661" t="n"/>
    </row>
    <row r="55" ht="14" customHeight="1" s="581" thickBot="1">
      <c r="A55" s="142" t="n"/>
      <c r="B55" s="689" t="n"/>
      <c r="C55" s="666" t="n"/>
      <c r="D55" s="665" t="n"/>
      <c r="E55" s="666" t="n"/>
      <c r="G55" s="258" t="n"/>
      <c r="J55" s="661" t="n"/>
    </row>
    <row r="56" customFormat="1" s="2">
      <c r="A56" s="143" t="n"/>
      <c r="B56" s="750" t="inlineStr">
        <is>
          <t>Where</t>
        </is>
      </c>
      <c r="C56" s="756" t="inlineStr">
        <is>
          <t>Card Withdrawal Tranx/Month</t>
        </is>
      </c>
      <c r="D56" s="738" t="n"/>
      <c r="E56" s="739" t="n"/>
      <c r="J56" s="660" t="n"/>
    </row>
    <row r="57">
      <c r="A57" s="142" t="n"/>
      <c r="B57" s="679" t="inlineStr">
        <is>
          <t xml:space="preserve">Silver </t>
        </is>
      </c>
      <c r="C57" s="757" t="inlineStr">
        <is>
          <t>1-199</t>
        </is>
      </c>
      <c r="D57" s="665" t="n"/>
      <c r="E57" s="666" t="n"/>
      <c r="J57" s="661" t="n"/>
    </row>
    <row r="58">
      <c r="A58" s="142" t="n"/>
      <c r="B58" s="679" t="inlineStr">
        <is>
          <t>Gold</t>
        </is>
      </c>
      <c r="C58" s="758" t="inlineStr">
        <is>
          <t>200-499</t>
        </is>
      </c>
      <c r="D58" s="665" t="n"/>
      <c r="E58" s="666" t="n"/>
      <c r="J58" s="661" t="n"/>
    </row>
    <row r="59" ht="14" customHeight="1" s="581" thickBot="1">
      <c r="A59" s="142" t="n"/>
      <c r="B59" s="684" t="inlineStr">
        <is>
          <t>Platinum</t>
        </is>
      </c>
      <c r="C59" s="759" t="inlineStr">
        <is>
          <t>500 &amp; above</t>
        </is>
      </c>
      <c r="D59" s="665" t="n"/>
      <c r="E59" s="666" t="n"/>
      <c r="J59" s="661" t="n"/>
    </row>
    <row r="60">
      <c r="A60" s="142" t="n"/>
      <c r="B60" s="689" t="n"/>
      <c r="C60" s="666" t="n"/>
      <c r="D60" s="665" t="n"/>
      <c r="E60" s="666" t="n"/>
      <c r="J60" s="661" t="n"/>
    </row>
    <row r="61" ht="48" customHeight="1" s="581">
      <c r="A61" s="142" t="n"/>
      <c r="B61" s="740" t="inlineStr">
        <is>
          <t>Notes: 
(a) This classification will be automatically updated at the end of each month
(b) Cashback will be instantly credited into the Agent's Commission wallet</t>
        </is>
      </c>
      <c r="F61" s="666" t="n"/>
    </row>
  </sheetData>
  <mergeCells count="6">
    <mergeCell ref="B4:F4"/>
    <mergeCell ref="B61:E61"/>
    <mergeCell ref="B1:E1"/>
    <mergeCell ref="B14:D14"/>
    <mergeCell ref="B26:F26"/>
    <mergeCell ref="B38:D38"/>
  </mergeCells>
  <pageMargins left="0.7086614173228347" right="0.7086614173228347" top="0.7480314960629921" bottom="0.7480314960629921" header="0.3149606299212598" footer="0.3149606299212598"/>
  <pageSetup orientation="portrait" paperSize="9" scale="70"/>
</worksheet>
</file>

<file path=xl/worksheets/sheet17.xml><?xml version="1.0" encoding="utf-8"?>
<worksheet xmlns="http://schemas.openxmlformats.org/spreadsheetml/2006/main">
  <sheetPr>
    <tabColor theme="5"/>
    <outlinePr summaryBelow="1" summaryRight="1"/>
    <pageSetUpPr/>
  </sheetPr>
  <dimension ref="A2:P41"/>
  <sheetViews>
    <sheetView zoomScale="77" zoomScaleNormal="100" workbookViewId="0">
      <selection activeCell="D25" sqref="D25"/>
    </sheetView>
  </sheetViews>
  <sheetFormatPr baseColWidth="8" defaultRowHeight="14.5"/>
  <cols>
    <col width="5.26953125" customWidth="1" style="581" min="1" max="1"/>
    <col width="21.1796875" customWidth="1" style="581" min="3" max="3"/>
    <col width="31.36328125" customWidth="1" style="581" min="4" max="4"/>
    <col width="51" bestFit="1" customWidth="1" style="581" min="5" max="5"/>
    <col width="32.08984375" bestFit="1" customWidth="1" style="581" min="6" max="6"/>
    <col width="28.26953125" customWidth="1" style="581" min="7" max="7"/>
    <col width="11.453125" bestFit="1" customWidth="1" style="581" min="8" max="8"/>
  </cols>
  <sheetData>
    <row r="1" ht="6" customFormat="1" customHeight="1" s="165"/>
    <row r="2" ht="17.5" customFormat="1" customHeight="1" s="165" thickBot="1">
      <c r="B2" s="604" t="inlineStr">
        <is>
          <t>For Airtime &amp; data, Agent users will earn between 2% - 5% cashback instantly credited to their commission wallets</t>
        </is>
      </c>
      <c r="C2" s="570" t="n"/>
      <c r="D2" s="570" t="n"/>
      <c r="E2" s="570" t="n"/>
      <c r="F2" s="570" t="n"/>
    </row>
    <row r="3" ht="10.5" customFormat="1" customHeight="1" s="165" thickBot="1">
      <c r="B3" s="604" t="n"/>
      <c r="C3" s="604" t="n"/>
      <c r="D3" s="604" t="n"/>
      <c r="E3" s="604" t="n"/>
      <c r="F3" s="604" t="n"/>
    </row>
    <row r="4" ht="14.5" customFormat="1" customHeight="1" s="563" thickBot="1">
      <c r="B4" s="579" t="inlineStr">
        <is>
          <t xml:space="preserve">On Elkanah's Merchant Banking System </t>
        </is>
      </c>
      <c r="C4" s="573" t="n"/>
      <c r="D4" s="573" t="n"/>
      <c r="E4" s="573" t="n"/>
      <c r="F4" s="574" t="n"/>
    </row>
    <row r="5" ht="14" customFormat="1" customHeight="1" s="2" thickBot="1">
      <c r="B5" s="94" t="inlineStr">
        <is>
          <t>Type</t>
        </is>
      </c>
      <c r="C5" s="95" t="inlineStr">
        <is>
          <t>Account Number</t>
        </is>
      </c>
      <c r="D5" s="95" t="inlineStr">
        <is>
          <t>Name</t>
        </is>
      </c>
      <c r="E5" s="95" t="inlineStr">
        <is>
          <t>Amount</t>
        </is>
      </c>
      <c r="F5" s="96" t="inlineStr">
        <is>
          <t>Value</t>
        </is>
      </c>
      <c r="G5" s="2" t="inlineStr">
        <is>
          <t>Tranx Amount</t>
        </is>
      </c>
      <c r="H5" s="774" t="n">
        <v>2000</v>
      </c>
      <c r="I5" s="563" t="n"/>
    </row>
    <row r="6" ht="13.5" customFormat="1" customHeight="1" s="411">
      <c r="B6" s="412" t="inlineStr">
        <is>
          <t>DR</t>
        </is>
      </c>
      <c r="C6" s="413" t="inlineStr">
        <is>
          <t xml:space="preserve">YYYYYYYYYY  </t>
        </is>
      </c>
      <c r="D6" s="414" t="inlineStr">
        <is>
          <t>Agent's Main Wallet</t>
        </is>
      </c>
      <c r="E6" s="414" t="inlineStr">
        <is>
          <t xml:space="preserve">Tranx Amt </t>
        </is>
      </c>
      <c r="F6" s="415" t="inlineStr">
        <is>
          <t>Nxxx</t>
        </is>
      </c>
      <c r="G6" s="775">
        <f>H5</f>
        <v/>
      </c>
      <c r="H6" s="411" t="inlineStr">
        <is>
          <t>agent</t>
        </is>
      </c>
    </row>
    <row r="7" ht="13.5" customFormat="1" customHeight="1" s="563">
      <c r="B7" s="85" t="inlineStr">
        <is>
          <t>CR</t>
        </is>
      </c>
      <c r="C7" s="81" t="inlineStr">
        <is>
          <t>WWWWWWWWWW</t>
        </is>
      </c>
      <c r="D7" s="81" t="inlineStr">
        <is>
          <t>Elkanah Wallet Suspense Account</t>
        </is>
      </c>
      <c r="E7" s="81" t="inlineStr">
        <is>
          <t>Tranx Amt less Cashback</t>
        </is>
      </c>
      <c r="F7" s="195" t="inlineStr">
        <is>
          <t>Nxxx * (1 - CB%)</t>
        </is>
      </c>
      <c r="G7" s="733">
        <f>H5*(1-G30)</f>
        <v/>
      </c>
      <c r="H7" s="776" t="inlineStr">
        <is>
          <t>sus</t>
        </is>
      </c>
      <c r="I7" s="777" t="n"/>
    </row>
    <row r="8" ht="14" customFormat="1" customHeight="1" s="563" thickBot="1">
      <c r="B8" s="101" t="inlineStr">
        <is>
          <t>CR</t>
        </is>
      </c>
      <c r="C8" s="375" t="inlineStr">
        <is>
          <t>ICICICIC</t>
        </is>
      </c>
      <c r="D8" s="102" t="inlineStr">
        <is>
          <t>Agent Commission Wallet</t>
        </is>
      </c>
      <c r="E8" s="102" t="inlineStr">
        <is>
          <t>Cashback Amount</t>
        </is>
      </c>
      <c r="F8" s="358" t="inlineStr">
        <is>
          <t>Nxxx * CB%</t>
        </is>
      </c>
      <c r="G8" s="733">
        <f>H5*G30</f>
        <v/>
      </c>
      <c r="H8" s="776" t="inlineStr">
        <is>
          <t>agent</t>
        </is>
      </c>
      <c r="I8" s="777" t="n"/>
    </row>
    <row r="9" ht="13.5" customFormat="1" customHeight="1" s="563">
      <c r="F9" s="191" t="n"/>
      <c r="G9" s="733" t="n"/>
      <c r="H9" s="776" t="n"/>
      <c r="I9" s="777" t="n"/>
    </row>
    <row r="10" ht="13.5" customFormat="1" customHeight="1" s="563">
      <c r="B10" s="2" t="n"/>
      <c r="H10" s="778" t="n"/>
    </row>
    <row r="11" ht="14" customFormat="1" customHeight="1" s="563" thickBot="1">
      <c r="B11" s="594" t="inlineStr">
        <is>
          <t>On the Core Banking System : For MTN, Airtel &amp; Glo - Airtime/Data</t>
        </is>
      </c>
      <c r="C11" s="570" t="n"/>
      <c r="D11" s="570" t="n"/>
    </row>
    <row r="12" ht="14" customFormat="1" customHeight="1" s="2" thickBot="1">
      <c r="B12" s="94" t="inlineStr">
        <is>
          <t>Type</t>
        </is>
      </c>
      <c r="C12" s="95" t="inlineStr">
        <is>
          <t>Account Number</t>
        </is>
      </c>
      <c r="D12" s="95" t="inlineStr">
        <is>
          <t>Name</t>
        </is>
      </c>
      <c r="E12" s="95" t="inlineStr">
        <is>
          <t>Amount</t>
        </is>
      </c>
      <c r="F12" s="96" t="inlineStr">
        <is>
          <t>Value</t>
        </is>
      </c>
      <c r="G12" s="733" t="n"/>
      <c r="H12" s="779" t="n"/>
    </row>
    <row r="13" ht="13.5" customFormat="1" customHeight="1" s="411">
      <c r="B13" s="406" t="inlineStr">
        <is>
          <t>DR</t>
        </is>
      </c>
      <c r="C13" s="407" t="n">
        <v>10120004</v>
      </c>
      <c r="D13" s="408" t="inlineStr">
        <is>
          <t>Float Account - Agent Banking</t>
        </is>
      </c>
      <c r="E13" s="409" t="inlineStr">
        <is>
          <t>Tranx Amt</t>
        </is>
      </c>
      <c r="F13" s="410" t="inlineStr">
        <is>
          <t xml:space="preserve">Nxxx </t>
        </is>
      </c>
      <c r="G13" s="775">
        <f>H5</f>
        <v/>
      </c>
    </row>
    <row r="14" ht="13.5" customFormat="1" customHeight="1" s="563">
      <c r="B14" s="85" t="inlineStr">
        <is>
          <t>CR</t>
        </is>
      </c>
      <c r="C14" s="214" t="n">
        <v>20070010</v>
      </c>
      <c r="D14" s="122" t="inlineStr">
        <is>
          <t>CreditSwitch Airtime/Data Sales</t>
        </is>
      </c>
      <c r="E14" s="81" t="inlineStr">
        <is>
          <t>Net settlement Amt (i.e. Tranx Amt less total comm.)</t>
        </is>
      </c>
      <c r="F14" s="195" t="inlineStr">
        <is>
          <t>Nxxx * (1 - TC%)</t>
        </is>
      </c>
      <c r="G14" s="733">
        <f>H5*(1-D30)</f>
        <v/>
      </c>
    </row>
    <row r="15" ht="13.5" customFormat="1" customHeight="1" s="563">
      <c r="B15" s="85" t="inlineStr">
        <is>
          <t>CR</t>
        </is>
      </c>
      <c r="C15" s="215" t="n">
        <v>40060003</v>
      </c>
      <c r="D15" s="123" t="inlineStr">
        <is>
          <t>Airtime &amp; Data Commission (Agent Banking)</t>
        </is>
      </c>
      <c r="E15" s="123" t="inlineStr">
        <is>
          <t>Fees due to 9PSB</t>
        </is>
      </c>
      <c r="F15" s="780" t="inlineStr">
        <is>
          <t xml:space="preserve">Nxxx * PB% </t>
        </is>
      </c>
      <c r="G15" s="733">
        <f>$H$5*$E$30</f>
        <v/>
      </c>
      <c r="H15" s="781">
        <f>SUM(G15:G17)</f>
        <v/>
      </c>
    </row>
    <row r="16" ht="13.5" customFormat="1" customHeight="1" s="563">
      <c r="B16" s="360" t="inlineStr">
        <is>
          <t>CR</t>
        </is>
      </c>
      <c r="C16" s="361" t="n">
        <v>20070049</v>
      </c>
      <c r="D16" s="362" t="inlineStr">
        <is>
          <t>VAT - Output</t>
        </is>
      </c>
      <c r="E16" s="362" t="inlineStr">
        <is>
          <t>VAT on Fees due to 9PSB</t>
        </is>
      </c>
      <c r="F16" s="782" t="inlineStr">
        <is>
          <t xml:space="preserve">Nxxx * VT% </t>
        </is>
      </c>
      <c r="G16" s="733">
        <f>$H$5*$F$30</f>
        <v/>
      </c>
    </row>
    <row r="17" ht="14" customFormat="1" customHeight="1" s="563" thickBot="1">
      <c r="B17" s="87" t="inlineStr">
        <is>
          <t>CR</t>
        </is>
      </c>
      <c r="C17" s="88" t="n">
        <v>20070068</v>
      </c>
      <c r="D17" s="119" t="inlineStr">
        <is>
          <t>Commission_Cashback Payable For Bank9ja Business</t>
        </is>
      </c>
      <c r="E17" s="119" t="inlineStr">
        <is>
          <t>Cashback Amount</t>
        </is>
      </c>
      <c r="F17" s="783" t="inlineStr">
        <is>
          <t>Nxxx * CB%</t>
        </is>
      </c>
      <c r="G17" s="733">
        <f>$H$5*$G$30</f>
        <v/>
      </c>
    </row>
    <row r="18">
      <c r="A18" s="165" t="n"/>
      <c r="B18" s="563" t="n"/>
      <c r="C18" s="196" t="n"/>
      <c r="D18" s="563" t="n"/>
      <c r="E18" s="563" t="n"/>
      <c r="F18" s="772" t="n"/>
      <c r="G18" s="784" t="n"/>
      <c r="H18" s="165" t="n"/>
      <c r="I18" s="165" t="n"/>
      <c r="J18" s="165" t="n"/>
      <c r="K18" s="165" t="n"/>
      <c r="L18" s="165" t="n"/>
      <c r="M18" s="165" t="n"/>
      <c r="N18" s="165" t="n"/>
      <c r="O18" s="165" t="n"/>
      <c r="P18" s="165" t="n"/>
    </row>
    <row r="19" ht="15" customFormat="1" customHeight="1" s="563" thickBot="1">
      <c r="B19" s="594" t="inlineStr">
        <is>
          <t>On the Core Banking System : For T2 (formerly 9Mobile) - Airtime/Data</t>
        </is>
      </c>
      <c r="C19" s="570" t="n"/>
      <c r="D19" s="570" t="n"/>
      <c r="E19" s="570" t="n"/>
    </row>
    <row r="20" ht="14" customFormat="1" customHeight="1" s="2" thickBot="1">
      <c r="B20" s="105" t="inlineStr">
        <is>
          <t>Type</t>
        </is>
      </c>
      <c r="C20" s="106" t="inlineStr">
        <is>
          <t>Account Number</t>
        </is>
      </c>
      <c r="D20" s="106" t="inlineStr">
        <is>
          <t>Name</t>
        </is>
      </c>
      <c r="E20" s="311" t="inlineStr">
        <is>
          <t>Amount</t>
        </is>
      </c>
      <c r="F20" s="194" t="inlineStr">
        <is>
          <t>Value</t>
        </is>
      </c>
      <c r="H20" s="779" t="n"/>
    </row>
    <row r="21" ht="13.5" customFormat="1" customHeight="1" s="563">
      <c r="B21" s="98" t="inlineStr">
        <is>
          <t>DR</t>
        </is>
      </c>
      <c r="C21" s="213" t="n">
        <v>10120004</v>
      </c>
      <c r="D21" s="120" t="inlineStr">
        <is>
          <t>Float Account - Agent Banking</t>
        </is>
      </c>
      <c r="E21" s="83" t="inlineStr">
        <is>
          <t>Tranx Amt less cashback discount</t>
        </is>
      </c>
      <c r="F21" s="355" t="inlineStr">
        <is>
          <t xml:space="preserve">Nxxx </t>
        </is>
      </c>
      <c r="G21" s="733">
        <f>G13</f>
        <v/>
      </c>
    </row>
    <row r="22" ht="13.5" customFormat="1" customHeight="1" s="563">
      <c r="B22" s="85" t="inlineStr">
        <is>
          <t>CR</t>
        </is>
      </c>
      <c r="C22" s="82" t="n">
        <v>20200019</v>
      </c>
      <c r="D22" s="81" t="inlineStr">
        <is>
          <t>9Mobile Direct Vending - Airtime and Data</t>
        </is>
      </c>
      <c r="E22" s="81" t="inlineStr">
        <is>
          <t>Net settlement Amt (i.e. Tranx Amt less total comm.)</t>
        </is>
      </c>
      <c r="F22" s="195" t="inlineStr">
        <is>
          <t>Nxxx * (1 - TC%)</t>
        </is>
      </c>
      <c r="G22" s="733">
        <f>$H$5*(1-D30)</f>
        <v/>
      </c>
    </row>
    <row r="23" ht="13.5" customFormat="1" customHeight="1" s="563">
      <c r="B23" s="85" t="inlineStr">
        <is>
          <t>CR</t>
        </is>
      </c>
      <c r="C23" s="215" t="n">
        <v>40060003</v>
      </c>
      <c r="D23" s="123" t="inlineStr">
        <is>
          <t>Airtime &amp; Data Commission (Merchant Banking)</t>
        </is>
      </c>
      <c r="E23" s="123" t="inlineStr">
        <is>
          <t>Fees due to 9PSB</t>
        </is>
      </c>
      <c r="F23" s="780" t="inlineStr">
        <is>
          <t xml:space="preserve">Nxxx * PB% </t>
        </is>
      </c>
      <c r="G23" s="733">
        <f>$H$5*$E$30</f>
        <v/>
      </c>
      <c r="H23" s="781">
        <f>SUM(G23:G25)</f>
        <v/>
      </c>
    </row>
    <row r="24" ht="13.5" customFormat="1" customHeight="1" s="563">
      <c r="B24" s="360" t="inlineStr">
        <is>
          <t>CR</t>
        </is>
      </c>
      <c r="C24" s="361" t="n">
        <v>20070049</v>
      </c>
      <c r="D24" s="362" t="inlineStr">
        <is>
          <t>VAT - Output</t>
        </is>
      </c>
      <c r="E24" s="362" t="inlineStr">
        <is>
          <t>VAT on Fees due to 9PSB</t>
        </is>
      </c>
      <c r="F24" s="782" t="inlineStr">
        <is>
          <t xml:space="preserve">Nxxx * VT% </t>
        </is>
      </c>
      <c r="G24" s="733">
        <f>$H$5*$F$30</f>
        <v/>
      </c>
    </row>
    <row r="25" ht="14" customFormat="1" customHeight="1" s="563" thickBot="1">
      <c r="B25" s="87" t="inlineStr">
        <is>
          <t>CR</t>
        </is>
      </c>
      <c r="C25" s="88" t="n">
        <v>20070068</v>
      </c>
      <c r="D25" s="119" t="inlineStr">
        <is>
          <t>Commission_Cashback Payable For Bank9ja Business</t>
        </is>
      </c>
      <c r="E25" s="119" t="inlineStr">
        <is>
          <t>Cashback Amount</t>
        </is>
      </c>
      <c r="F25" s="783" t="inlineStr">
        <is>
          <t>Nxxx * CB%</t>
        </is>
      </c>
      <c r="G25" s="733">
        <f>$H$5*$G$30</f>
        <v/>
      </c>
    </row>
    <row r="26" ht="13.5" customFormat="1" customHeight="1" s="563"/>
    <row r="27" customFormat="1" s="165"/>
    <row r="28" ht="15" customFormat="1" customHeight="1" s="165" thickBot="1"/>
    <row r="29" ht="14" customFormat="1" customHeight="1" s="198" thickBot="1">
      <c r="C29" s="202" t="inlineStr">
        <is>
          <t>Telco</t>
        </is>
      </c>
      <c r="D29" s="203" t="inlineStr">
        <is>
          <t>Total Commissions (TC%)</t>
        </is>
      </c>
      <c r="E29" s="203" t="inlineStr">
        <is>
          <t>Comm. due to 9PSB (PB%)</t>
        </is>
      </c>
      <c r="F29" s="203" t="inlineStr">
        <is>
          <t>VAT. On  9PSB's Comm (VT%)</t>
        </is>
      </c>
      <c r="G29" s="363" t="inlineStr">
        <is>
          <t>Cashback to Agent (CB%)</t>
        </is>
      </c>
    </row>
    <row r="30" customFormat="1" s="165">
      <c r="C30" s="201" t="inlineStr">
        <is>
          <t>MTN</t>
        </is>
      </c>
      <c r="D30" s="207" t="n">
        <v>0.0315</v>
      </c>
      <c r="E30" s="207">
        <f>100*(D30-G30)/107.5</f>
        <v/>
      </c>
      <c r="F30" s="207">
        <f>7.5*(D30-G30)/107.5</f>
        <v/>
      </c>
      <c r="G30" s="204" t="n">
        <v>0.02</v>
      </c>
      <c r="H30" s="310" t="n"/>
    </row>
    <row r="31" customFormat="1" s="165">
      <c r="C31" s="199" t="inlineStr">
        <is>
          <t>Airtel</t>
        </is>
      </c>
      <c r="D31" s="208" t="n">
        <v>0.0315</v>
      </c>
      <c r="E31" s="208">
        <f>100*(D31-G31)/107.5</f>
        <v/>
      </c>
      <c r="F31" s="207">
        <f>7.5*(D31-G31)/107.5</f>
        <v/>
      </c>
      <c r="G31" s="205" t="n">
        <v>0.02</v>
      </c>
      <c r="H31" s="310" t="n"/>
    </row>
    <row r="32" customFormat="1" s="165">
      <c r="C32" s="199" t="inlineStr">
        <is>
          <t>Glo</t>
        </is>
      </c>
      <c r="D32" s="208" t="n">
        <v>0.05</v>
      </c>
      <c r="E32" s="208">
        <f>100*(D32-G32)/107.5</f>
        <v/>
      </c>
      <c r="F32" s="207">
        <f>7.5*(D32-G32)/107.5</f>
        <v/>
      </c>
      <c r="G32" s="206" t="n">
        <v>0.03</v>
      </c>
      <c r="H32" s="310" t="n"/>
    </row>
    <row r="33" ht="15" customFormat="1" customHeight="1" s="165" thickBot="1">
      <c r="C33" s="200" t="inlineStr">
        <is>
          <t>T2</t>
        </is>
      </c>
      <c r="D33" s="209" t="n">
        <v>0.09</v>
      </c>
      <c r="E33" s="209">
        <f>100*(D33-G33)/107.5</f>
        <v/>
      </c>
      <c r="F33" s="210">
        <f>7.5*(D33-G33)/107.5</f>
        <v/>
      </c>
      <c r="G33" s="211" t="n">
        <v>0.05</v>
      </c>
      <c r="H33" s="310" t="n"/>
    </row>
    <row r="34" customFormat="1" s="165"/>
    <row r="35" customFormat="1" s="165"/>
    <row r="36">
      <c r="G36" s="309" t="n"/>
    </row>
    <row r="37">
      <c r="G37" s="309" t="n"/>
    </row>
    <row r="38">
      <c r="G38" s="309" t="n"/>
    </row>
    <row r="39">
      <c r="G39" s="309" t="n"/>
    </row>
    <row r="40">
      <c r="G40" s="309" t="n"/>
    </row>
    <row r="41">
      <c r="G41" s="309" t="n"/>
    </row>
  </sheetData>
  <mergeCells count="6">
    <mergeCell ref="B4:F4"/>
    <mergeCell ref="B11:D11"/>
    <mergeCell ref="B2:F2"/>
    <mergeCell ref="H15:H17"/>
    <mergeCell ref="B19:E19"/>
    <mergeCell ref="H23:H25"/>
  </mergeCells>
  <pageMargins left="0.7" right="0.7" top="0.75" bottom="0.75" header="0.3" footer="0.3"/>
  <pageSetup orientation="portrait"/>
</worksheet>
</file>

<file path=xl/worksheets/sheet18.xml><?xml version="1.0" encoding="utf-8"?>
<worksheet xmlns="http://schemas.openxmlformats.org/spreadsheetml/2006/main">
  <sheetPr>
    <tabColor theme="5"/>
    <outlinePr summaryBelow="1" summaryRight="1"/>
    <pageSetUpPr/>
  </sheetPr>
  <dimension ref="A2:P41"/>
  <sheetViews>
    <sheetView zoomScale="77" zoomScaleNormal="100" workbookViewId="0">
      <selection activeCell="H15" sqref="H15:H17"/>
    </sheetView>
  </sheetViews>
  <sheetFormatPr baseColWidth="8" defaultRowHeight="14.5"/>
  <cols>
    <col width="5.26953125" customWidth="1" style="581" min="1" max="1"/>
    <col width="21.1796875" customWidth="1" style="581" min="3" max="3"/>
    <col width="31.36328125" customWidth="1" style="581" min="4" max="4"/>
    <col width="51" bestFit="1" customWidth="1" style="581" min="5" max="5"/>
    <col width="32.08984375" bestFit="1" customWidth="1" style="581" min="6" max="6"/>
    <col width="28.26953125" customWidth="1" style="581" min="7" max="7"/>
    <col width="11.453125" bestFit="1" customWidth="1" style="581" min="8" max="8"/>
  </cols>
  <sheetData>
    <row r="1" ht="6" customFormat="1" customHeight="1" s="165"/>
    <row r="2" ht="17.5" customFormat="1" customHeight="1" s="165" thickBot="1">
      <c r="B2" s="604" t="inlineStr">
        <is>
          <t>For Airtime &amp; data, Agent users will earn between 2% - 5% cashback instantly credited to their commission wallets</t>
        </is>
      </c>
      <c r="C2" s="570" t="n"/>
      <c r="D2" s="570" t="n"/>
      <c r="E2" s="570" t="n"/>
      <c r="F2" s="570" t="n"/>
    </row>
    <row r="3" ht="10.5" customFormat="1" customHeight="1" s="165" thickBot="1">
      <c r="B3" s="604" t="n"/>
      <c r="C3" s="604" t="n"/>
      <c r="D3" s="604" t="n"/>
      <c r="E3" s="604" t="n"/>
      <c r="F3" s="604" t="n"/>
    </row>
    <row r="4" ht="14.5" customFormat="1" customHeight="1" s="563" thickBot="1">
      <c r="B4" s="579" t="inlineStr">
        <is>
          <t xml:space="preserve">On Elkanah's Merchant Banking System </t>
        </is>
      </c>
      <c r="C4" s="573" t="n"/>
      <c r="D4" s="573" t="n"/>
      <c r="E4" s="573" t="n"/>
      <c r="F4" s="574" t="n"/>
    </row>
    <row r="5" ht="14" customFormat="1" customHeight="1" s="2" thickBot="1">
      <c r="B5" s="94" t="inlineStr">
        <is>
          <t>Type</t>
        </is>
      </c>
      <c r="C5" s="95" t="inlineStr">
        <is>
          <t>Account Number</t>
        </is>
      </c>
      <c r="D5" s="95" t="inlineStr">
        <is>
          <t>Name</t>
        </is>
      </c>
      <c r="E5" s="95" t="inlineStr">
        <is>
          <t>Amount</t>
        </is>
      </c>
      <c r="F5" s="96" t="inlineStr">
        <is>
          <t>Value</t>
        </is>
      </c>
      <c r="G5" s="2" t="inlineStr">
        <is>
          <t>Tranx Amount</t>
        </is>
      </c>
      <c r="H5" s="774" t="n">
        <v>2000</v>
      </c>
      <c r="I5" s="563" t="n"/>
    </row>
    <row r="6" ht="13.5" customFormat="1" customHeight="1" s="411">
      <c r="B6" s="412" t="inlineStr">
        <is>
          <t>DR</t>
        </is>
      </c>
      <c r="C6" s="413" t="inlineStr">
        <is>
          <t xml:space="preserve">YYYYYYYYYY  </t>
        </is>
      </c>
      <c r="D6" s="414" t="inlineStr">
        <is>
          <t>Agent's Main Wallet</t>
        </is>
      </c>
      <c r="E6" s="414" t="inlineStr">
        <is>
          <t xml:space="preserve">Tranx Amt </t>
        </is>
      </c>
      <c r="F6" s="415" t="inlineStr">
        <is>
          <t>Nxxx</t>
        </is>
      </c>
      <c r="G6" s="775">
        <f>H5</f>
        <v/>
      </c>
      <c r="H6" s="411" t="inlineStr">
        <is>
          <t>agent</t>
        </is>
      </c>
    </row>
    <row r="7" ht="13.5" customFormat="1" customHeight="1" s="563">
      <c r="B7" s="85" t="inlineStr">
        <is>
          <t>CR</t>
        </is>
      </c>
      <c r="C7" s="81" t="inlineStr">
        <is>
          <t>WWWWWWWWWW</t>
        </is>
      </c>
      <c r="D7" s="81" t="inlineStr">
        <is>
          <t>Elkanah Wallet Suspense Account</t>
        </is>
      </c>
      <c r="E7" s="81" t="inlineStr">
        <is>
          <t>Tranx Amt less Cashback</t>
        </is>
      </c>
      <c r="F7" s="195" t="inlineStr">
        <is>
          <t>Nxxx * (1 - CB%)</t>
        </is>
      </c>
      <c r="G7" s="733">
        <f>H5*(1-G30)</f>
        <v/>
      </c>
      <c r="H7" s="776" t="inlineStr">
        <is>
          <t>sus</t>
        </is>
      </c>
      <c r="I7" s="777" t="n"/>
    </row>
    <row r="8" ht="14" customFormat="1" customHeight="1" s="563" thickBot="1">
      <c r="B8" s="101" t="inlineStr">
        <is>
          <t>CR</t>
        </is>
      </c>
      <c r="C8" s="375" t="inlineStr">
        <is>
          <t>ICICICIC</t>
        </is>
      </c>
      <c r="D8" s="102" t="inlineStr">
        <is>
          <t>Agent Commission Wallet</t>
        </is>
      </c>
      <c r="E8" s="102" t="inlineStr">
        <is>
          <t>Cashback Amount</t>
        </is>
      </c>
      <c r="F8" s="358" t="inlineStr">
        <is>
          <t>Nxxx * CB%</t>
        </is>
      </c>
      <c r="G8" s="733">
        <f>H5*G30</f>
        <v/>
      </c>
      <c r="H8" s="776" t="inlineStr">
        <is>
          <t>agent</t>
        </is>
      </c>
      <c r="I8" s="777" t="n"/>
    </row>
    <row r="9" ht="13.5" customFormat="1" customHeight="1" s="563">
      <c r="F9" s="191" t="n"/>
      <c r="G9" s="733" t="n"/>
      <c r="H9" s="776" t="n"/>
      <c r="I9" s="777" t="n"/>
    </row>
    <row r="10" ht="13.5" customFormat="1" customHeight="1" s="563">
      <c r="B10" s="2" t="n"/>
      <c r="H10" s="778" t="n"/>
    </row>
    <row r="11" ht="14" customFormat="1" customHeight="1" s="563" thickBot="1">
      <c r="B11" s="594" t="inlineStr">
        <is>
          <t>On the Core Banking System : For MTN, Airtel &amp; Glo - Airtime/Data</t>
        </is>
      </c>
      <c r="C11" s="570" t="n"/>
      <c r="D11" s="570" t="n"/>
    </row>
    <row r="12" ht="14" customFormat="1" customHeight="1" s="2" thickBot="1">
      <c r="B12" s="94" t="inlineStr">
        <is>
          <t>Type</t>
        </is>
      </c>
      <c r="C12" s="95" t="inlineStr">
        <is>
          <t>Account Number</t>
        </is>
      </c>
      <c r="D12" s="95" t="inlineStr">
        <is>
          <t>Name</t>
        </is>
      </c>
      <c r="E12" s="95" t="inlineStr">
        <is>
          <t>Amount</t>
        </is>
      </c>
      <c r="F12" s="96" t="inlineStr">
        <is>
          <t>Value</t>
        </is>
      </c>
      <c r="G12" s="733" t="n"/>
      <c r="H12" s="779" t="n"/>
    </row>
    <row r="13" ht="13.5" customFormat="1" customHeight="1" s="411">
      <c r="B13" s="406" t="inlineStr">
        <is>
          <t>DR</t>
        </is>
      </c>
      <c r="C13" s="407" t="n">
        <v>10120004</v>
      </c>
      <c r="D13" s="408" t="inlineStr">
        <is>
          <t>Float Account - Agent Banking</t>
        </is>
      </c>
      <c r="E13" s="409" t="inlineStr">
        <is>
          <t>Tranx Amt</t>
        </is>
      </c>
      <c r="F13" s="410" t="inlineStr">
        <is>
          <t xml:space="preserve">Nxxx </t>
        </is>
      </c>
      <c r="G13" s="775">
        <f>H5</f>
        <v/>
      </c>
    </row>
    <row r="14" ht="13.5" customFormat="1" customHeight="1" s="563">
      <c r="B14" s="85" t="inlineStr">
        <is>
          <t>CR</t>
        </is>
      </c>
      <c r="C14" s="214" t="n">
        <v>20070010</v>
      </c>
      <c r="D14" s="122" t="inlineStr">
        <is>
          <t>CreditSwitch Airtime/Data Sales</t>
        </is>
      </c>
      <c r="E14" s="81" t="inlineStr">
        <is>
          <t>Net settlement Amt (i.e. Tranx Amt less total comm.)</t>
        </is>
      </c>
      <c r="F14" s="195" t="inlineStr">
        <is>
          <t>Nxxx * (1 - TC%)</t>
        </is>
      </c>
      <c r="G14" s="733">
        <f>H5*(1-D30)</f>
        <v/>
      </c>
    </row>
    <row r="15" ht="13.5" customFormat="1" customHeight="1" s="563">
      <c r="B15" s="85" t="inlineStr">
        <is>
          <t>CR</t>
        </is>
      </c>
      <c r="C15" s="215" t="n">
        <v>40060003</v>
      </c>
      <c r="D15" s="123" t="inlineStr">
        <is>
          <t>Airtime &amp; Data Commission (Agent Banking)</t>
        </is>
      </c>
      <c r="E15" s="123" t="inlineStr">
        <is>
          <t>Fees due to 9PSB</t>
        </is>
      </c>
      <c r="F15" s="780" t="inlineStr">
        <is>
          <t xml:space="preserve">Nxxx * PB% </t>
        </is>
      </c>
      <c r="G15" s="733">
        <f>$H$5*$E$30</f>
        <v/>
      </c>
      <c r="H15" s="781">
        <f>SUM(G15:G17)</f>
        <v/>
      </c>
    </row>
    <row r="16" ht="13.5" customFormat="1" customHeight="1" s="563">
      <c r="B16" s="360" t="inlineStr">
        <is>
          <t>CR</t>
        </is>
      </c>
      <c r="C16" s="361" t="n">
        <v>20070049</v>
      </c>
      <c r="D16" s="362" t="inlineStr">
        <is>
          <t>VAT - Output</t>
        </is>
      </c>
      <c r="E16" s="362" t="inlineStr">
        <is>
          <t>VAT on Fees due to 9PSB</t>
        </is>
      </c>
      <c r="F16" s="782" t="inlineStr">
        <is>
          <t xml:space="preserve">Nxxx * VT% </t>
        </is>
      </c>
      <c r="G16" s="733">
        <f>$H$5*$F$30</f>
        <v/>
      </c>
    </row>
    <row r="17" ht="14" customFormat="1" customHeight="1" s="563" thickBot="1">
      <c r="B17" s="87" t="inlineStr">
        <is>
          <t>CR</t>
        </is>
      </c>
      <c r="C17" s="88" t="n">
        <v>20070068</v>
      </c>
      <c r="D17" s="119" t="inlineStr">
        <is>
          <t>Commission_Cashback Payable For Bank9ja Business</t>
        </is>
      </c>
      <c r="E17" s="119" t="inlineStr">
        <is>
          <t>Cashback Amount</t>
        </is>
      </c>
      <c r="F17" s="783" t="inlineStr">
        <is>
          <t>Nxxx * CB%</t>
        </is>
      </c>
      <c r="G17" s="733">
        <f>$H$5*$G$30</f>
        <v/>
      </c>
    </row>
    <row r="18">
      <c r="A18" s="165" t="n"/>
      <c r="B18" s="563" t="n"/>
      <c r="C18" s="196" t="n"/>
      <c r="D18" s="563" t="n"/>
      <c r="E18" s="563" t="n"/>
      <c r="F18" s="772" t="n"/>
      <c r="G18" s="784" t="n"/>
      <c r="H18" s="165" t="n"/>
      <c r="I18" s="165" t="n"/>
      <c r="J18" s="165" t="n"/>
      <c r="K18" s="165" t="n"/>
      <c r="L18" s="165" t="n"/>
      <c r="M18" s="165" t="n"/>
      <c r="N18" s="165" t="n"/>
      <c r="O18" s="165" t="n"/>
      <c r="P18" s="165" t="n"/>
    </row>
    <row r="19" ht="15" customFormat="1" customHeight="1" s="563" thickBot="1">
      <c r="B19" s="594" t="inlineStr">
        <is>
          <t>On the Core Banking System : For T2 (formerly 9Mobile) - Airtime/Data</t>
        </is>
      </c>
      <c r="C19" s="570" t="n"/>
      <c r="D19" s="570" t="n"/>
      <c r="E19" s="570" t="n"/>
    </row>
    <row r="20" ht="14" customFormat="1" customHeight="1" s="2" thickBot="1">
      <c r="B20" s="105" t="inlineStr">
        <is>
          <t>Type</t>
        </is>
      </c>
      <c r="C20" s="106" t="inlineStr">
        <is>
          <t>Account Number</t>
        </is>
      </c>
      <c r="D20" s="106" t="inlineStr">
        <is>
          <t>Name</t>
        </is>
      </c>
      <c r="E20" s="311" t="inlineStr">
        <is>
          <t>Amount</t>
        </is>
      </c>
      <c r="F20" s="194" t="inlineStr">
        <is>
          <t>Value</t>
        </is>
      </c>
      <c r="H20" s="779" t="n"/>
    </row>
    <row r="21" ht="13.5" customFormat="1" customHeight="1" s="563">
      <c r="B21" s="98" t="inlineStr">
        <is>
          <t>DR</t>
        </is>
      </c>
      <c r="C21" s="213" t="n">
        <v>10120004</v>
      </c>
      <c r="D21" s="120" t="inlineStr">
        <is>
          <t>Float Account - Agent Banking</t>
        </is>
      </c>
      <c r="E21" s="83" t="inlineStr">
        <is>
          <t>Tranx Amt less cashback discount</t>
        </is>
      </c>
      <c r="F21" s="355" t="inlineStr">
        <is>
          <t xml:space="preserve">Nxxx </t>
        </is>
      </c>
      <c r="G21" s="733">
        <f>G13</f>
        <v/>
      </c>
    </row>
    <row r="22" ht="13.5" customFormat="1" customHeight="1" s="563">
      <c r="B22" s="85" t="inlineStr">
        <is>
          <t>CR</t>
        </is>
      </c>
      <c r="C22" s="82" t="n">
        <v>20200019</v>
      </c>
      <c r="D22" s="81" t="inlineStr">
        <is>
          <t>9Mobile Direct Vending - Airtime and Data</t>
        </is>
      </c>
      <c r="E22" s="81" t="inlineStr">
        <is>
          <t>Net settlement Amt (i.e. Tranx Amt less total comm.)</t>
        </is>
      </c>
      <c r="F22" s="195" t="inlineStr">
        <is>
          <t>Nxxx * (1 - TC%)</t>
        </is>
      </c>
      <c r="G22" s="733">
        <f>$H$5*(1-D30)</f>
        <v/>
      </c>
    </row>
    <row r="23" ht="13.5" customFormat="1" customHeight="1" s="563">
      <c r="B23" s="85" t="inlineStr">
        <is>
          <t>CR</t>
        </is>
      </c>
      <c r="C23" s="215" t="n">
        <v>40060003</v>
      </c>
      <c r="D23" s="123" t="inlineStr">
        <is>
          <t>Airtime &amp; Data Commission (Merchant Banking)</t>
        </is>
      </c>
      <c r="E23" s="123" t="inlineStr">
        <is>
          <t>Fees due to 9PSB</t>
        </is>
      </c>
      <c r="F23" s="780" t="inlineStr">
        <is>
          <t xml:space="preserve">Nxxx * PB% </t>
        </is>
      </c>
      <c r="G23" s="733">
        <f>$H$5*$E$30</f>
        <v/>
      </c>
      <c r="H23" s="781">
        <f>SUM(G23:G25)</f>
        <v/>
      </c>
    </row>
    <row r="24" ht="13.5" customFormat="1" customHeight="1" s="563">
      <c r="B24" s="360" t="inlineStr">
        <is>
          <t>CR</t>
        </is>
      </c>
      <c r="C24" s="361" t="n">
        <v>20070049</v>
      </c>
      <c r="D24" s="362" t="inlineStr">
        <is>
          <t>VAT - Output</t>
        </is>
      </c>
      <c r="E24" s="362" t="inlineStr">
        <is>
          <t>VAT on Fees due to 9PSB</t>
        </is>
      </c>
      <c r="F24" s="782" t="inlineStr">
        <is>
          <t xml:space="preserve">Nxxx * VT% </t>
        </is>
      </c>
      <c r="G24" s="733">
        <f>$H$5*$F$30</f>
        <v/>
      </c>
    </row>
    <row r="25" ht="14" customFormat="1" customHeight="1" s="563" thickBot="1">
      <c r="B25" s="87" t="inlineStr">
        <is>
          <t>CR</t>
        </is>
      </c>
      <c r="C25" s="88" t="n">
        <v>20070068</v>
      </c>
      <c r="D25" s="119" t="inlineStr">
        <is>
          <t>Commission_Cashback Payable For Bank9ja Business</t>
        </is>
      </c>
      <c r="E25" s="119" t="inlineStr">
        <is>
          <t>Cashback Amount</t>
        </is>
      </c>
      <c r="F25" s="783" t="inlineStr">
        <is>
          <t>Nxxx * CB%</t>
        </is>
      </c>
      <c r="G25" s="733">
        <f>$H$5*$G$30</f>
        <v/>
      </c>
    </row>
    <row r="26" ht="13.5" customFormat="1" customHeight="1" s="563"/>
    <row r="27" customFormat="1" s="165"/>
    <row r="28" ht="15" customFormat="1" customHeight="1" s="165" thickBot="1"/>
    <row r="29" ht="14" customFormat="1" customHeight="1" s="198" thickBot="1">
      <c r="C29" s="202" t="inlineStr">
        <is>
          <t>Telco</t>
        </is>
      </c>
      <c r="D29" s="203" t="inlineStr">
        <is>
          <t>Total Commissions (TC%)</t>
        </is>
      </c>
      <c r="E29" s="203" t="inlineStr">
        <is>
          <t>Comm. due to 9PSB (PB%)</t>
        </is>
      </c>
      <c r="F29" s="203" t="inlineStr">
        <is>
          <t>VAT. On  9PSB's Comm (VT%)</t>
        </is>
      </c>
      <c r="G29" s="363" t="inlineStr">
        <is>
          <t>Cashback to Agent (CB%)</t>
        </is>
      </c>
    </row>
    <row r="30" customFormat="1" s="165">
      <c r="C30" s="201" t="inlineStr">
        <is>
          <t>MTN</t>
        </is>
      </c>
      <c r="D30" s="207" t="n">
        <v>0.0315</v>
      </c>
      <c r="E30" s="207">
        <f>100*(D30-G30)/107.5</f>
        <v/>
      </c>
      <c r="F30" s="207">
        <f>7.5*(D30-G30)/107.5</f>
        <v/>
      </c>
      <c r="G30" s="204" t="n">
        <v>0.02</v>
      </c>
      <c r="H30" s="310" t="n"/>
    </row>
    <row r="31" customFormat="1" s="165">
      <c r="C31" s="199" t="inlineStr">
        <is>
          <t>Airtel</t>
        </is>
      </c>
      <c r="D31" s="208" t="n">
        <v>0.0315</v>
      </c>
      <c r="E31" s="208">
        <f>100*(D31-G31)/107.5</f>
        <v/>
      </c>
      <c r="F31" s="207">
        <f>7.5*(D31-G31)/107.5</f>
        <v/>
      </c>
      <c r="G31" s="205" t="n">
        <v>0.02</v>
      </c>
      <c r="H31" s="310" t="n"/>
    </row>
    <row r="32" customFormat="1" s="165">
      <c r="C32" s="199" t="inlineStr">
        <is>
          <t>Glo</t>
        </is>
      </c>
      <c r="D32" s="208" t="n">
        <v>0.05</v>
      </c>
      <c r="E32" s="208">
        <f>100*(D32-G32)/107.5</f>
        <v/>
      </c>
      <c r="F32" s="207">
        <f>7.5*(D32-G32)/107.5</f>
        <v/>
      </c>
      <c r="G32" s="206" t="n">
        <v>0.03</v>
      </c>
      <c r="H32" s="310" t="n"/>
    </row>
    <row r="33" ht="15" customFormat="1" customHeight="1" s="165" thickBot="1">
      <c r="C33" s="200" t="inlineStr">
        <is>
          <t>T2</t>
        </is>
      </c>
      <c r="D33" s="209" t="n">
        <v>0.09</v>
      </c>
      <c r="E33" s="209">
        <f>100*(D33-G33)/107.5</f>
        <v/>
      </c>
      <c r="F33" s="210">
        <f>7.5*(D33-G33)/107.5</f>
        <v/>
      </c>
      <c r="G33" s="211" t="n">
        <v>0.05</v>
      </c>
      <c r="H33" s="310" t="n"/>
    </row>
    <row r="34" customFormat="1" s="165"/>
    <row r="35" customFormat="1" s="165"/>
    <row r="36">
      <c r="G36" s="309" t="n"/>
    </row>
    <row r="37">
      <c r="G37" s="309" t="n"/>
    </row>
    <row r="38">
      <c r="G38" s="309" t="n"/>
    </row>
    <row r="39">
      <c r="G39" s="309" t="n"/>
    </row>
    <row r="40">
      <c r="G40" s="309" t="n"/>
    </row>
    <row r="41">
      <c r="G41" s="309" t="n"/>
    </row>
  </sheetData>
  <mergeCells count="6">
    <mergeCell ref="B4:F4"/>
    <mergeCell ref="B11:D11"/>
    <mergeCell ref="B2:F2"/>
    <mergeCell ref="H15:H17"/>
    <mergeCell ref="B19:E19"/>
    <mergeCell ref="H23:H25"/>
  </mergeCells>
  <pageMargins left="0.7" right="0.7" top="0.75" bottom="0.75" header="0.3" footer="0.3"/>
  <pageSetup orientation="portrait"/>
</worksheet>
</file>

<file path=xl/worksheets/sheet19.xml><?xml version="1.0" encoding="utf-8"?>
<worksheet xmlns="http://schemas.openxmlformats.org/spreadsheetml/2006/main">
  <sheetPr>
    <tabColor theme="4"/>
    <outlinePr summaryBelow="1" summaryRight="1"/>
    <pageSetUpPr fitToPage="1"/>
  </sheetPr>
  <dimension ref="B1:I16"/>
  <sheetViews>
    <sheetView zoomScale="79" zoomScaleNormal="90" workbookViewId="0">
      <selection activeCell="D21" sqref="D21"/>
    </sheetView>
  </sheetViews>
  <sheetFormatPr baseColWidth="8" defaultColWidth="6.1796875" defaultRowHeight="13.5"/>
  <cols>
    <col width="5.90625" customWidth="1" style="563" min="1" max="1"/>
    <col width="6.1796875" customWidth="1" style="563" min="2" max="2"/>
    <col width="20.81640625" bestFit="1" customWidth="1" style="563" min="3" max="3"/>
    <col width="42.81640625" bestFit="1" customWidth="1" style="563" min="4" max="4"/>
    <col width="38.7265625" customWidth="1" style="563" min="5" max="5"/>
    <col width="39.54296875" customWidth="1" style="563" min="6" max="6"/>
    <col width="2.81640625" customWidth="1" style="563" min="7" max="7"/>
    <col width="26.08984375" customWidth="1" style="563" min="8" max="8"/>
    <col width="17.1796875" bestFit="1" customWidth="1" style="563" min="9" max="9"/>
    <col width="15.1796875" bestFit="1" customWidth="1" style="563" min="10" max="10"/>
    <col width="12.08984375" customWidth="1" style="563" min="11" max="254"/>
    <col width="1.54296875" customWidth="1" style="563" min="255" max="255"/>
    <col width="6.1796875" customWidth="1" style="563" min="256" max="256"/>
    <col width="1.54296875" customWidth="1" style="563" min="257" max="257"/>
    <col width="6.1796875" customWidth="1" style="563" min="258" max="258"/>
    <col width="19.36328125" bestFit="1" customWidth="1" style="563" min="259" max="259"/>
    <col width="41.6328125" customWidth="1" style="563" min="260" max="260"/>
    <col width="36.36328125" customWidth="1" style="563" min="261" max="261"/>
    <col width="42.90625" customWidth="1" style="563" min="262" max="262"/>
    <col width="2.81640625" customWidth="1" style="563" min="263" max="263"/>
    <col width="26.08984375" customWidth="1" style="563" min="264" max="264"/>
    <col width="17.1796875" bestFit="1" customWidth="1" style="563" min="265" max="265"/>
    <col width="15.1796875" bestFit="1" customWidth="1" style="563" min="266" max="266"/>
    <col width="12.08984375" customWidth="1" style="563" min="267" max="510"/>
    <col width="1.54296875" customWidth="1" style="563" min="511" max="511"/>
    <col width="6.1796875" customWidth="1" style="563" min="512" max="512"/>
    <col width="1.54296875" customWidth="1" style="563" min="513" max="513"/>
    <col width="6.1796875" customWidth="1" style="563" min="514" max="514"/>
    <col width="19.36328125" bestFit="1" customWidth="1" style="563" min="515" max="515"/>
    <col width="41.6328125" customWidth="1" style="563" min="516" max="516"/>
    <col width="36.36328125" customWidth="1" style="563" min="517" max="517"/>
    <col width="42.90625" customWidth="1" style="563" min="518" max="518"/>
    <col width="2.81640625" customWidth="1" style="563" min="519" max="519"/>
    <col width="26.08984375" customWidth="1" style="563" min="520" max="520"/>
    <col width="17.1796875" bestFit="1" customWidth="1" style="563" min="521" max="521"/>
    <col width="15.1796875" bestFit="1" customWidth="1" style="563" min="522" max="522"/>
    <col width="12.08984375" customWidth="1" style="563" min="523" max="766"/>
    <col width="1.54296875" customWidth="1" style="563" min="767" max="767"/>
    <col width="6.1796875" customWidth="1" style="563" min="768" max="768"/>
    <col width="1.54296875" customWidth="1" style="563" min="769" max="769"/>
    <col width="6.1796875" customWidth="1" style="563" min="770" max="770"/>
    <col width="19.36328125" bestFit="1" customWidth="1" style="563" min="771" max="771"/>
    <col width="41.6328125" customWidth="1" style="563" min="772" max="772"/>
    <col width="36.36328125" customWidth="1" style="563" min="773" max="773"/>
    <col width="42.90625" customWidth="1" style="563" min="774" max="774"/>
    <col width="2.81640625" customWidth="1" style="563" min="775" max="775"/>
    <col width="26.08984375" customWidth="1" style="563" min="776" max="776"/>
    <col width="17.1796875" bestFit="1" customWidth="1" style="563" min="777" max="777"/>
    <col width="15.1796875" bestFit="1" customWidth="1" style="563" min="778" max="778"/>
    <col width="12.08984375" customWidth="1" style="563" min="779" max="1022"/>
    <col width="1.54296875" customWidth="1" style="563" min="1023" max="1023"/>
    <col width="6.1796875" customWidth="1" style="563" min="1024" max="1024"/>
    <col width="1.54296875" customWidth="1" style="563" min="1025" max="1025"/>
    <col width="6.1796875" customWidth="1" style="563" min="1026" max="1026"/>
    <col width="19.36328125" bestFit="1" customWidth="1" style="563" min="1027" max="1027"/>
    <col width="41.6328125" customWidth="1" style="563" min="1028" max="1028"/>
    <col width="36.36328125" customWidth="1" style="563" min="1029" max="1029"/>
    <col width="42.90625" customWidth="1" style="563" min="1030" max="1030"/>
    <col width="2.81640625" customWidth="1" style="563" min="1031" max="1031"/>
    <col width="26.08984375" customWidth="1" style="563" min="1032" max="1032"/>
    <col width="17.1796875" bestFit="1" customWidth="1" style="563" min="1033" max="1033"/>
    <col width="15.1796875" bestFit="1" customWidth="1" style="563" min="1034" max="1034"/>
    <col width="12.08984375" customWidth="1" style="563" min="1035" max="1278"/>
    <col width="1.54296875" customWidth="1" style="563" min="1279" max="1279"/>
    <col width="6.1796875" customWidth="1" style="563" min="1280" max="1280"/>
    <col width="1.54296875" customWidth="1" style="563" min="1281" max="1281"/>
    <col width="6.1796875" customWidth="1" style="563" min="1282" max="1282"/>
    <col width="19.36328125" bestFit="1" customWidth="1" style="563" min="1283" max="1283"/>
    <col width="41.6328125" customWidth="1" style="563" min="1284" max="1284"/>
    <col width="36.36328125" customWidth="1" style="563" min="1285" max="1285"/>
    <col width="42.90625" customWidth="1" style="563" min="1286" max="1286"/>
    <col width="2.81640625" customWidth="1" style="563" min="1287" max="1287"/>
    <col width="26.08984375" customWidth="1" style="563" min="1288" max="1288"/>
    <col width="17.1796875" bestFit="1" customWidth="1" style="563" min="1289" max="1289"/>
    <col width="15.1796875" bestFit="1" customWidth="1" style="563" min="1290" max="1290"/>
    <col width="12.08984375" customWidth="1" style="563" min="1291" max="1534"/>
    <col width="1.54296875" customWidth="1" style="563" min="1535" max="1535"/>
    <col width="6.1796875" customWidth="1" style="563" min="1536" max="1536"/>
    <col width="1.54296875" customWidth="1" style="563" min="1537" max="1537"/>
    <col width="6.1796875" customWidth="1" style="563" min="1538" max="1538"/>
    <col width="19.36328125" bestFit="1" customWidth="1" style="563" min="1539" max="1539"/>
    <col width="41.6328125" customWidth="1" style="563" min="1540" max="1540"/>
    <col width="36.36328125" customWidth="1" style="563" min="1541" max="1541"/>
    <col width="42.90625" customWidth="1" style="563" min="1542" max="1542"/>
    <col width="2.81640625" customWidth="1" style="563" min="1543" max="1543"/>
    <col width="26.08984375" customWidth="1" style="563" min="1544" max="1544"/>
    <col width="17.1796875" bestFit="1" customWidth="1" style="563" min="1545" max="1545"/>
    <col width="15.1796875" bestFit="1" customWidth="1" style="563" min="1546" max="1546"/>
    <col width="12.08984375" customWidth="1" style="563" min="1547" max="1790"/>
    <col width="1.54296875" customWidth="1" style="563" min="1791" max="1791"/>
    <col width="6.1796875" customWidth="1" style="563" min="1792" max="1792"/>
    <col width="1.54296875" customWidth="1" style="563" min="1793" max="1793"/>
    <col width="6.1796875" customWidth="1" style="563" min="1794" max="1794"/>
    <col width="19.36328125" bestFit="1" customWidth="1" style="563" min="1795" max="1795"/>
    <col width="41.6328125" customWidth="1" style="563" min="1796" max="1796"/>
    <col width="36.36328125" customWidth="1" style="563" min="1797" max="1797"/>
    <col width="42.90625" customWidth="1" style="563" min="1798" max="1798"/>
    <col width="2.81640625" customWidth="1" style="563" min="1799" max="1799"/>
    <col width="26.08984375" customWidth="1" style="563" min="1800" max="1800"/>
    <col width="17.1796875" bestFit="1" customWidth="1" style="563" min="1801" max="1801"/>
    <col width="15.1796875" bestFit="1" customWidth="1" style="563" min="1802" max="1802"/>
    <col width="12.08984375" customWidth="1" style="563" min="1803" max="2046"/>
    <col width="1.54296875" customWidth="1" style="563" min="2047" max="2047"/>
    <col width="6.1796875" customWidth="1" style="563" min="2048" max="2048"/>
    <col width="1.54296875" customWidth="1" style="563" min="2049" max="2049"/>
    <col width="6.1796875" customWidth="1" style="563" min="2050" max="2050"/>
    <col width="19.36328125" bestFit="1" customWidth="1" style="563" min="2051" max="2051"/>
    <col width="41.6328125" customWidth="1" style="563" min="2052" max="2052"/>
    <col width="36.36328125" customWidth="1" style="563" min="2053" max="2053"/>
    <col width="42.90625" customWidth="1" style="563" min="2054" max="2054"/>
    <col width="2.81640625" customWidth="1" style="563" min="2055" max="2055"/>
    <col width="26.08984375" customWidth="1" style="563" min="2056" max="2056"/>
    <col width="17.1796875" bestFit="1" customWidth="1" style="563" min="2057" max="2057"/>
    <col width="15.1796875" bestFit="1" customWidth="1" style="563" min="2058" max="2058"/>
    <col width="12.08984375" customWidth="1" style="563" min="2059" max="2302"/>
    <col width="1.54296875" customWidth="1" style="563" min="2303" max="2303"/>
    <col width="6.1796875" customWidth="1" style="563" min="2304" max="2304"/>
    <col width="1.54296875" customWidth="1" style="563" min="2305" max="2305"/>
    <col width="6.1796875" customWidth="1" style="563" min="2306" max="2306"/>
    <col width="19.36328125" bestFit="1" customWidth="1" style="563" min="2307" max="2307"/>
    <col width="41.6328125" customWidth="1" style="563" min="2308" max="2308"/>
    <col width="36.36328125" customWidth="1" style="563" min="2309" max="2309"/>
    <col width="42.90625" customWidth="1" style="563" min="2310" max="2310"/>
    <col width="2.81640625" customWidth="1" style="563" min="2311" max="2311"/>
    <col width="26.08984375" customWidth="1" style="563" min="2312" max="2312"/>
    <col width="17.1796875" bestFit="1" customWidth="1" style="563" min="2313" max="2313"/>
    <col width="15.1796875" bestFit="1" customWidth="1" style="563" min="2314" max="2314"/>
    <col width="12.08984375" customWidth="1" style="563" min="2315" max="2558"/>
    <col width="1.54296875" customWidth="1" style="563" min="2559" max="2559"/>
    <col width="6.1796875" customWidth="1" style="563" min="2560" max="2560"/>
    <col width="1.54296875" customWidth="1" style="563" min="2561" max="2561"/>
    <col width="6.1796875" customWidth="1" style="563" min="2562" max="2562"/>
    <col width="19.36328125" bestFit="1" customWidth="1" style="563" min="2563" max="2563"/>
    <col width="41.6328125" customWidth="1" style="563" min="2564" max="2564"/>
    <col width="36.36328125" customWidth="1" style="563" min="2565" max="2565"/>
    <col width="42.90625" customWidth="1" style="563" min="2566" max="2566"/>
    <col width="2.81640625" customWidth="1" style="563" min="2567" max="2567"/>
    <col width="26.08984375" customWidth="1" style="563" min="2568" max="2568"/>
    <col width="17.1796875" bestFit="1" customWidth="1" style="563" min="2569" max="2569"/>
    <col width="15.1796875" bestFit="1" customWidth="1" style="563" min="2570" max="2570"/>
    <col width="12.08984375" customWidth="1" style="563" min="2571" max="2814"/>
    <col width="1.54296875" customWidth="1" style="563" min="2815" max="2815"/>
    <col width="6.1796875" customWidth="1" style="563" min="2816" max="2816"/>
    <col width="1.54296875" customWidth="1" style="563" min="2817" max="2817"/>
    <col width="6.1796875" customWidth="1" style="563" min="2818" max="2818"/>
    <col width="19.36328125" bestFit="1" customWidth="1" style="563" min="2819" max="2819"/>
    <col width="41.6328125" customWidth="1" style="563" min="2820" max="2820"/>
    <col width="36.36328125" customWidth="1" style="563" min="2821" max="2821"/>
    <col width="42.90625" customWidth="1" style="563" min="2822" max="2822"/>
    <col width="2.81640625" customWidth="1" style="563" min="2823" max="2823"/>
    <col width="26.08984375" customWidth="1" style="563" min="2824" max="2824"/>
    <col width="17.1796875" bestFit="1" customWidth="1" style="563" min="2825" max="2825"/>
    <col width="15.1796875" bestFit="1" customWidth="1" style="563" min="2826" max="2826"/>
    <col width="12.08984375" customWidth="1" style="563" min="2827" max="3070"/>
    <col width="1.54296875" customWidth="1" style="563" min="3071" max="3071"/>
    <col width="6.1796875" customWidth="1" style="563" min="3072" max="3072"/>
    <col width="1.54296875" customWidth="1" style="563" min="3073" max="3073"/>
    <col width="6.1796875" customWidth="1" style="563" min="3074" max="3074"/>
    <col width="19.36328125" bestFit="1" customWidth="1" style="563" min="3075" max="3075"/>
    <col width="41.6328125" customWidth="1" style="563" min="3076" max="3076"/>
    <col width="36.36328125" customWidth="1" style="563" min="3077" max="3077"/>
    <col width="42.90625" customWidth="1" style="563" min="3078" max="3078"/>
    <col width="2.81640625" customWidth="1" style="563" min="3079" max="3079"/>
    <col width="26.08984375" customWidth="1" style="563" min="3080" max="3080"/>
    <col width="17.1796875" bestFit="1" customWidth="1" style="563" min="3081" max="3081"/>
    <col width="15.1796875" bestFit="1" customWidth="1" style="563" min="3082" max="3082"/>
    <col width="12.08984375" customWidth="1" style="563" min="3083" max="3326"/>
    <col width="1.54296875" customWidth="1" style="563" min="3327" max="3327"/>
    <col width="6.1796875" customWidth="1" style="563" min="3328" max="3328"/>
    <col width="1.54296875" customWidth="1" style="563" min="3329" max="3329"/>
    <col width="6.1796875" customWidth="1" style="563" min="3330" max="3330"/>
    <col width="19.36328125" bestFit="1" customWidth="1" style="563" min="3331" max="3331"/>
    <col width="41.6328125" customWidth="1" style="563" min="3332" max="3332"/>
    <col width="36.36328125" customWidth="1" style="563" min="3333" max="3333"/>
    <col width="42.90625" customWidth="1" style="563" min="3334" max="3334"/>
    <col width="2.81640625" customWidth="1" style="563" min="3335" max="3335"/>
    <col width="26.08984375" customWidth="1" style="563" min="3336" max="3336"/>
    <col width="17.1796875" bestFit="1" customWidth="1" style="563" min="3337" max="3337"/>
    <col width="15.1796875" bestFit="1" customWidth="1" style="563" min="3338" max="3338"/>
    <col width="12.08984375" customWidth="1" style="563" min="3339" max="3582"/>
    <col width="1.54296875" customWidth="1" style="563" min="3583" max="3583"/>
    <col width="6.1796875" customWidth="1" style="563" min="3584" max="3584"/>
    <col width="1.54296875" customWidth="1" style="563" min="3585" max="3585"/>
    <col width="6.1796875" customWidth="1" style="563" min="3586" max="3586"/>
    <col width="19.36328125" bestFit="1" customWidth="1" style="563" min="3587" max="3587"/>
    <col width="41.6328125" customWidth="1" style="563" min="3588" max="3588"/>
    <col width="36.36328125" customWidth="1" style="563" min="3589" max="3589"/>
    <col width="42.90625" customWidth="1" style="563" min="3590" max="3590"/>
    <col width="2.81640625" customWidth="1" style="563" min="3591" max="3591"/>
    <col width="26.08984375" customWidth="1" style="563" min="3592" max="3592"/>
    <col width="17.1796875" bestFit="1" customWidth="1" style="563" min="3593" max="3593"/>
    <col width="15.1796875" bestFit="1" customWidth="1" style="563" min="3594" max="3594"/>
    <col width="12.08984375" customWidth="1" style="563" min="3595" max="3838"/>
    <col width="1.54296875" customWidth="1" style="563" min="3839" max="3839"/>
    <col width="6.1796875" customWidth="1" style="563" min="3840" max="3840"/>
    <col width="1.54296875" customWidth="1" style="563" min="3841" max="3841"/>
    <col width="6.1796875" customWidth="1" style="563" min="3842" max="3842"/>
    <col width="19.36328125" bestFit="1" customWidth="1" style="563" min="3843" max="3843"/>
    <col width="41.6328125" customWidth="1" style="563" min="3844" max="3844"/>
    <col width="36.36328125" customWidth="1" style="563" min="3845" max="3845"/>
    <col width="42.90625" customWidth="1" style="563" min="3846" max="3846"/>
    <col width="2.81640625" customWidth="1" style="563" min="3847" max="3847"/>
    <col width="26.08984375" customWidth="1" style="563" min="3848" max="3848"/>
    <col width="17.1796875" bestFit="1" customWidth="1" style="563" min="3849" max="3849"/>
    <col width="15.1796875" bestFit="1" customWidth="1" style="563" min="3850" max="3850"/>
    <col width="12.08984375" customWidth="1" style="563" min="3851" max="4094"/>
    <col width="1.54296875" customWidth="1" style="563" min="4095" max="4095"/>
    <col width="6.1796875" customWidth="1" style="563" min="4096" max="4096"/>
    <col width="1.54296875" customWidth="1" style="563" min="4097" max="4097"/>
    <col width="6.1796875" customWidth="1" style="563" min="4098" max="4098"/>
    <col width="19.36328125" bestFit="1" customWidth="1" style="563" min="4099" max="4099"/>
    <col width="41.6328125" customWidth="1" style="563" min="4100" max="4100"/>
    <col width="36.36328125" customWidth="1" style="563" min="4101" max="4101"/>
    <col width="42.90625" customWidth="1" style="563" min="4102" max="4102"/>
    <col width="2.81640625" customWidth="1" style="563" min="4103" max="4103"/>
    <col width="26.08984375" customWidth="1" style="563" min="4104" max="4104"/>
    <col width="17.1796875" bestFit="1" customWidth="1" style="563" min="4105" max="4105"/>
    <col width="15.1796875" bestFit="1" customWidth="1" style="563" min="4106" max="4106"/>
    <col width="12.08984375" customWidth="1" style="563" min="4107" max="4350"/>
    <col width="1.54296875" customWidth="1" style="563" min="4351" max="4351"/>
    <col width="6.1796875" customWidth="1" style="563" min="4352" max="4352"/>
    <col width="1.54296875" customWidth="1" style="563" min="4353" max="4353"/>
    <col width="6.1796875" customWidth="1" style="563" min="4354" max="4354"/>
    <col width="19.36328125" bestFit="1" customWidth="1" style="563" min="4355" max="4355"/>
    <col width="41.6328125" customWidth="1" style="563" min="4356" max="4356"/>
    <col width="36.36328125" customWidth="1" style="563" min="4357" max="4357"/>
    <col width="42.90625" customWidth="1" style="563" min="4358" max="4358"/>
    <col width="2.81640625" customWidth="1" style="563" min="4359" max="4359"/>
    <col width="26.08984375" customWidth="1" style="563" min="4360" max="4360"/>
    <col width="17.1796875" bestFit="1" customWidth="1" style="563" min="4361" max="4361"/>
    <col width="15.1796875" bestFit="1" customWidth="1" style="563" min="4362" max="4362"/>
    <col width="12.08984375" customWidth="1" style="563" min="4363" max="4606"/>
    <col width="1.54296875" customWidth="1" style="563" min="4607" max="4607"/>
    <col width="6.1796875" customWidth="1" style="563" min="4608" max="4608"/>
    <col width="1.54296875" customWidth="1" style="563" min="4609" max="4609"/>
    <col width="6.1796875" customWidth="1" style="563" min="4610" max="4610"/>
    <col width="19.36328125" bestFit="1" customWidth="1" style="563" min="4611" max="4611"/>
    <col width="41.6328125" customWidth="1" style="563" min="4612" max="4612"/>
    <col width="36.36328125" customWidth="1" style="563" min="4613" max="4613"/>
    <col width="42.90625" customWidth="1" style="563" min="4614" max="4614"/>
    <col width="2.81640625" customWidth="1" style="563" min="4615" max="4615"/>
    <col width="26.08984375" customWidth="1" style="563" min="4616" max="4616"/>
    <col width="17.1796875" bestFit="1" customWidth="1" style="563" min="4617" max="4617"/>
    <col width="15.1796875" bestFit="1" customWidth="1" style="563" min="4618" max="4618"/>
    <col width="12.08984375" customWidth="1" style="563" min="4619" max="4862"/>
    <col width="1.54296875" customWidth="1" style="563" min="4863" max="4863"/>
    <col width="6.1796875" customWidth="1" style="563" min="4864" max="4864"/>
    <col width="1.54296875" customWidth="1" style="563" min="4865" max="4865"/>
    <col width="6.1796875" customWidth="1" style="563" min="4866" max="4866"/>
    <col width="19.36328125" bestFit="1" customWidth="1" style="563" min="4867" max="4867"/>
    <col width="41.6328125" customWidth="1" style="563" min="4868" max="4868"/>
    <col width="36.36328125" customWidth="1" style="563" min="4869" max="4869"/>
    <col width="42.90625" customWidth="1" style="563" min="4870" max="4870"/>
    <col width="2.81640625" customWidth="1" style="563" min="4871" max="4871"/>
    <col width="26.08984375" customWidth="1" style="563" min="4872" max="4872"/>
    <col width="17.1796875" bestFit="1" customWidth="1" style="563" min="4873" max="4873"/>
    <col width="15.1796875" bestFit="1" customWidth="1" style="563" min="4874" max="4874"/>
    <col width="12.08984375" customWidth="1" style="563" min="4875" max="5118"/>
    <col width="1.54296875" customWidth="1" style="563" min="5119" max="5119"/>
    <col width="6.1796875" customWidth="1" style="563" min="5120" max="5120"/>
    <col width="1.54296875" customWidth="1" style="563" min="5121" max="5121"/>
    <col width="6.1796875" customWidth="1" style="563" min="5122" max="5122"/>
    <col width="19.36328125" bestFit="1" customWidth="1" style="563" min="5123" max="5123"/>
    <col width="41.6328125" customWidth="1" style="563" min="5124" max="5124"/>
    <col width="36.36328125" customWidth="1" style="563" min="5125" max="5125"/>
    <col width="42.90625" customWidth="1" style="563" min="5126" max="5126"/>
    <col width="2.81640625" customWidth="1" style="563" min="5127" max="5127"/>
    <col width="26.08984375" customWidth="1" style="563" min="5128" max="5128"/>
    <col width="17.1796875" bestFit="1" customWidth="1" style="563" min="5129" max="5129"/>
    <col width="15.1796875" bestFit="1" customWidth="1" style="563" min="5130" max="5130"/>
    <col width="12.08984375" customWidth="1" style="563" min="5131" max="5374"/>
    <col width="1.54296875" customWidth="1" style="563" min="5375" max="5375"/>
    <col width="6.1796875" customWidth="1" style="563" min="5376" max="5376"/>
    <col width="1.54296875" customWidth="1" style="563" min="5377" max="5377"/>
    <col width="6.1796875" customWidth="1" style="563" min="5378" max="5378"/>
    <col width="19.36328125" bestFit="1" customWidth="1" style="563" min="5379" max="5379"/>
    <col width="41.6328125" customWidth="1" style="563" min="5380" max="5380"/>
    <col width="36.36328125" customWidth="1" style="563" min="5381" max="5381"/>
    <col width="42.90625" customWidth="1" style="563" min="5382" max="5382"/>
    <col width="2.81640625" customWidth="1" style="563" min="5383" max="5383"/>
    <col width="26.08984375" customWidth="1" style="563" min="5384" max="5384"/>
    <col width="17.1796875" bestFit="1" customWidth="1" style="563" min="5385" max="5385"/>
    <col width="15.1796875" bestFit="1" customWidth="1" style="563" min="5386" max="5386"/>
    <col width="12.08984375" customWidth="1" style="563" min="5387" max="5630"/>
    <col width="1.54296875" customWidth="1" style="563" min="5631" max="5631"/>
    <col width="6.1796875" customWidth="1" style="563" min="5632" max="5632"/>
    <col width="1.54296875" customWidth="1" style="563" min="5633" max="5633"/>
    <col width="6.1796875" customWidth="1" style="563" min="5634" max="5634"/>
    <col width="19.36328125" bestFit="1" customWidth="1" style="563" min="5635" max="5635"/>
    <col width="41.6328125" customWidth="1" style="563" min="5636" max="5636"/>
    <col width="36.36328125" customWidth="1" style="563" min="5637" max="5637"/>
    <col width="42.90625" customWidth="1" style="563" min="5638" max="5638"/>
    <col width="2.81640625" customWidth="1" style="563" min="5639" max="5639"/>
    <col width="26.08984375" customWidth="1" style="563" min="5640" max="5640"/>
    <col width="17.1796875" bestFit="1" customWidth="1" style="563" min="5641" max="5641"/>
    <col width="15.1796875" bestFit="1" customWidth="1" style="563" min="5642" max="5642"/>
    <col width="12.08984375" customWidth="1" style="563" min="5643" max="5886"/>
    <col width="1.54296875" customWidth="1" style="563" min="5887" max="5887"/>
    <col width="6.1796875" customWidth="1" style="563" min="5888" max="5888"/>
    <col width="1.54296875" customWidth="1" style="563" min="5889" max="5889"/>
    <col width="6.1796875" customWidth="1" style="563" min="5890" max="5890"/>
    <col width="19.36328125" bestFit="1" customWidth="1" style="563" min="5891" max="5891"/>
    <col width="41.6328125" customWidth="1" style="563" min="5892" max="5892"/>
    <col width="36.36328125" customWidth="1" style="563" min="5893" max="5893"/>
    <col width="42.90625" customWidth="1" style="563" min="5894" max="5894"/>
    <col width="2.81640625" customWidth="1" style="563" min="5895" max="5895"/>
    <col width="26.08984375" customWidth="1" style="563" min="5896" max="5896"/>
    <col width="17.1796875" bestFit="1" customWidth="1" style="563" min="5897" max="5897"/>
    <col width="15.1796875" bestFit="1" customWidth="1" style="563" min="5898" max="5898"/>
    <col width="12.08984375" customWidth="1" style="563" min="5899" max="6142"/>
    <col width="1.54296875" customWidth="1" style="563" min="6143" max="6143"/>
    <col width="6.1796875" customWidth="1" style="563" min="6144" max="6144"/>
    <col width="1.54296875" customWidth="1" style="563" min="6145" max="6145"/>
    <col width="6.1796875" customWidth="1" style="563" min="6146" max="6146"/>
    <col width="19.36328125" bestFit="1" customWidth="1" style="563" min="6147" max="6147"/>
    <col width="41.6328125" customWidth="1" style="563" min="6148" max="6148"/>
    <col width="36.36328125" customWidth="1" style="563" min="6149" max="6149"/>
    <col width="42.90625" customWidth="1" style="563" min="6150" max="6150"/>
    <col width="2.81640625" customWidth="1" style="563" min="6151" max="6151"/>
    <col width="26.08984375" customWidth="1" style="563" min="6152" max="6152"/>
    <col width="17.1796875" bestFit="1" customWidth="1" style="563" min="6153" max="6153"/>
    <col width="15.1796875" bestFit="1" customWidth="1" style="563" min="6154" max="6154"/>
    <col width="12.08984375" customWidth="1" style="563" min="6155" max="6398"/>
    <col width="1.54296875" customWidth="1" style="563" min="6399" max="6399"/>
    <col width="6.1796875" customWidth="1" style="563" min="6400" max="6400"/>
    <col width="1.54296875" customWidth="1" style="563" min="6401" max="6401"/>
    <col width="6.1796875" customWidth="1" style="563" min="6402" max="6402"/>
    <col width="19.36328125" bestFit="1" customWidth="1" style="563" min="6403" max="6403"/>
    <col width="41.6328125" customWidth="1" style="563" min="6404" max="6404"/>
    <col width="36.36328125" customWidth="1" style="563" min="6405" max="6405"/>
    <col width="42.90625" customWidth="1" style="563" min="6406" max="6406"/>
    <col width="2.81640625" customWidth="1" style="563" min="6407" max="6407"/>
    <col width="26.08984375" customWidth="1" style="563" min="6408" max="6408"/>
    <col width="17.1796875" bestFit="1" customWidth="1" style="563" min="6409" max="6409"/>
    <col width="15.1796875" bestFit="1" customWidth="1" style="563" min="6410" max="6410"/>
    <col width="12.08984375" customWidth="1" style="563" min="6411" max="6654"/>
    <col width="1.54296875" customWidth="1" style="563" min="6655" max="6655"/>
    <col width="6.1796875" customWidth="1" style="563" min="6656" max="6656"/>
    <col width="1.54296875" customWidth="1" style="563" min="6657" max="6657"/>
    <col width="6.1796875" customWidth="1" style="563" min="6658" max="6658"/>
    <col width="19.36328125" bestFit="1" customWidth="1" style="563" min="6659" max="6659"/>
    <col width="41.6328125" customWidth="1" style="563" min="6660" max="6660"/>
    <col width="36.36328125" customWidth="1" style="563" min="6661" max="6661"/>
    <col width="42.90625" customWidth="1" style="563" min="6662" max="6662"/>
    <col width="2.81640625" customWidth="1" style="563" min="6663" max="6663"/>
    <col width="26.08984375" customWidth="1" style="563" min="6664" max="6664"/>
    <col width="17.1796875" bestFit="1" customWidth="1" style="563" min="6665" max="6665"/>
    <col width="15.1796875" bestFit="1" customWidth="1" style="563" min="6666" max="6666"/>
    <col width="12.08984375" customWidth="1" style="563" min="6667" max="6910"/>
    <col width="1.54296875" customWidth="1" style="563" min="6911" max="6911"/>
    <col width="6.1796875" customWidth="1" style="563" min="6912" max="6912"/>
    <col width="1.54296875" customWidth="1" style="563" min="6913" max="6913"/>
    <col width="6.1796875" customWidth="1" style="563" min="6914" max="6914"/>
    <col width="19.36328125" bestFit="1" customWidth="1" style="563" min="6915" max="6915"/>
    <col width="41.6328125" customWidth="1" style="563" min="6916" max="6916"/>
    <col width="36.36328125" customWidth="1" style="563" min="6917" max="6917"/>
    <col width="42.90625" customWidth="1" style="563" min="6918" max="6918"/>
    <col width="2.81640625" customWidth="1" style="563" min="6919" max="6919"/>
    <col width="26.08984375" customWidth="1" style="563" min="6920" max="6920"/>
    <col width="17.1796875" bestFit="1" customWidth="1" style="563" min="6921" max="6921"/>
    <col width="15.1796875" bestFit="1" customWidth="1" style="563" min="6922" max="6922"/>
    <col width="12.08984375" customWidth="1" style="563" min="6923" max="7166"/>
    <col width="1.54296875" customWidth="1" style="563" min="7167" max="7167"/>
    <col width="6.1796875" customWidth="1" style="563" min="7168" max="7168"/>
    <col width="1.54296875" customWidth="1" style="563" min="7169" max="7169"/>
    <col width="6.1796875" customWidth="1" style="563" min="7170" max="7170"/>
    <col width="19.36328125" bestFit="1" customWidth="1" style="563" min="7171" max="7171"/>
    <col width="41.6328125" customWidth="1" style="563" min="7172" max="7172"/>
    <col width="36.36328125" customWidth="1" style="563" min="7173" max="7173"/>
    <col width="42.90625" customWidth="1" style="563" min="7174" max="7174"/>
    <col width="2.81640625" customWidth="1" style="563" min="7175" max="7175"/>
    <col width="26.08984375" customWidth="1" style="563" min="7176" max="7176"/>
    <col width="17.1796875" bestFit="1" customWidth="1" style="563" min="7177" max="7177"/>
    <col width="15.1796875" bestFit="1" customWidth="1" style="563" min="7178" max="7178"/>
    <col width="12.08984375" customWidth="1" style="563" min="7179" max="7422"/>
    <col width="1.54296875" customWidth="1" style="563" min="7423" max="7423"/>
    <col width="6.1796875" customWidth="1" style="563" min="7424" max="7424"/>
    <col width="1.54296875" customWidth="1" style="563" min="7425" max="7425"/>
    <col width="6.1796875" customWidth="1" style="563" min="7426" max="7426"/>
    <col width="19.36328125" bestFit="1" customWidth="1" style="563" min="7427" max="7427"/>
    <col width="41.6328125" customWidth="1" style="563" min="7428" max="7428"/>
    <col width="36.36328125" customWidth="1" style="563" min="7429" max="7429"/>
    <col width="42.90625" customWidth="1" style="563" min="7430" max="7430"/>
    <col width="2.81640625" customWidth="1" style="563" min="7431" max="7431"/>
    <col width="26.08984375" customWidth="1" style="563" min="7432" max="7432"/>
    <col width="17.1796875" bestFit="1" customWidth="1" style="563" min="7433" max="7433"/>
    <col width="15.1796875" bestFit="1" customWidth="1" style="563" min="7434" max="7434"/>
    <col width="12.08984375" customWidth="1" style="563" min="7435" max="7678"/>
    <col width="1.54296875" customWidth="1" style="563" min="7679" max="7679"/>
    <col width="6.1796875" customWidth="1" style="563" min="7680" max="7680"/>
    <col width="1.54296875" customWidth="1" style="563" min="7681" max="7681"/>
    <col width="6.1796875" customWidth="1" style="563" min="7682" max="7682"/>
    <col width="19.36328125" bestFit="1" customWidth="1" style="563" min="7683" max="7683"/>
    <col width="41.6328125" customWidth="1" style="563" min="7684" max="7684"/>
    <col width="36.36328125" customWidth="1" style="563" min="7685" max="7685"/>
    <col width="42.90625" customWidth="1" style="563" min="7686" max="7686"/>
    <col width="2.81640625" customWidth="1" style="563" min="7687" max="7687"/>
    <col width="26.08984375" customWidth="1" style="563" min="7688" max="7688"/>
    <col width="17.1796875" bestFit="1" customWidth="1" style="563" min="7689" max="7689"/>
    <col width="15.1796875" bestFit="1" customWidth="1" style="563" min="7690" max="7690"/>
    <col width="12.08984375" customWidth="1" style="563" min="7691" max="7934"/>
    <col width="1.54296875" customWidth="1" style="563" min="7935" max="7935"/>
    <col width="6.1796875" customWidth="1" style="563" min="7936" max="7936"/>
    <col width="1.54296875" customWidth="1" style="563" min="7937" max="7937"/>
    <col width="6.1796875" customWidth="1" style="563" min="7938" max="7938"/>
    <col width="19.36328125" bestFit="1" customWidth="1" style="563" min="7939" max="7939"/>
    <col width="41.6328125" customWidth="1" style="563" min="7940" max="7940"/>
    <col width="36.36328125" customWidth="1" style="563" min="7941" max="7941"/>
    <col width="42.90625" customWidth="1" style="563" min="7942" max="7942"/>
    <col width="2.81640625" customWidth="1" style="563" min="7943" max="7943"/>
    <col width="26.08984375" customWidth="1" style="563" min="7944" max="7944"/>
    <col width="17.1796875" bestFit="1" customWidth="1" style="563" min="7945" max="7945"/>
    <col width="15.1796875" bestFit="1" customWidth="1" style="563" min="7946" max="7946"/>
    <col width="12.08984375" customWidth="1" style="563" min="7947" max="8190"/>
    <col width="1.54296875" customWidth="1" style="563" min="8191" max="8191"/>
    <col width="6.1796875" customWidth="1" style="563" min="8192" max="8192"/>
    <col width="1.54296875" customWidth="1" style="563" min="8193" max="8193"/>
    <col width="6.1796875" customWidth="1" style="563" min="8194" max="8194"/>
    <col width="19.36328125" bestFit="1" customWidth="1" style="563" min="8195" max="8195"/>
    <col width="41.6328125" customWidth="1" style="563" min="8196" max="8196"/>
    <col width="36.36328125" customWidth="1" style="563" min="8197" max="8197"/>
    <col width="42.90625" customWidth="1" style="563" min="8198" max="8198"/>
    <col width="2.81640625" customWidth="1" style="563" min="8199" max="8199"/>
    <col width="26.08984375" customWidth="1" style="563" min="8200" max="8200"/>
    <col width="17.1796875" bestFit="1" customWidth="1" style="563" min="8201" max="8201"/>
    <col width="15.1796875" bestFit="1" customWidth="1" style="563" min="8202" max="8202"/>
    <col width="12.08984375" customWidth="1" style="563" min="8203" max="8446"/>
    <col width="1.54296875" customWidth="1" style="563" min="8447" max="8447"/>
    <col width="6.1796875" customWidth="1" style="563" min="8448" max="8448"/>
    <col width="1.54296875" customWidth="1" style="563" min="8449" max="8449"/>
    <col width="6.1796875" customWidth="1" style="563" min="8450" max="8450"/>
    <col width="19.36328125" bestFit="1" customWidth="1" style="563" min="8451" max="8451"/>
    <col width="41.6328125" customWidth="1" style="563" min="8452" max="8452"/>
    <col width="36.36328125" customWidth="1" style="563" min="8453" max="8453"/>
    <col width="42.90625" customWidth="1" style="563" min="8454" max="8454"/>
    <col width="2.81640625" customWidth="1" style="563" min="8455" max="8455"/>
    <col width="26.08984375" customWidth="1" style="563" min="8456" max="8456"/>
    <col width="17.1796875" bestFit="1" customWidth="1" style="563" min="8457" max="8457"/>
    <col width="15.1796875" bestFit="1" customWidth="1" style="563" min="8458" max="8458"/>
    <col width="12.08984375" customWidth="1" style="563" min="8459" max="8702"/>
    <col width="1.54296875" customWidth="1" style="563" min="8703" max="8703"/>
    <col width="6.1796875" customWidth="1" style="563" min="8704" max="8704"/>
    <col width="1.54296875" customWidth="1" style="563" min="8705" max="8705"/>
    <col width="6.1796875" customWidth="1" style="563" min="8706" max="8706"/>
    <col width="19.36328125" bestFit="1" customWidth="1" style="563" min="8707" max="8707"/>
    <col width="41.6328125" customWidth="1" style="563" min="8708" max="8708"/>
    <col width="36.36328125" customWidth="1" style="563" min="8709" max="8709"/>
    <col width="42.90625" customWidth="1" style="563" min="8710" max="8710"/>
    <col width="2.81640625" customWidth="1" style="563" min="8711" max="8711"/>
    <col width="26.08984375" customWidth="1" style="563" min="8712" max="8712"/>
    <col width="17.1796875" bestFit="1" customWidth="1" style="563" min="8713" max="8713"/>
    <col width="15.1796875" bestFit="1" customWidth="1" style="563" min="8714" max="8714"/>
    <col width="12.08984375" customWidth="1" style="563" min="8715" max="8958"/>
    <col width="1.54296875" customWidth="1" style="563" min="8959" max="8959"/>
    <col width="6.1796875" customWidth="1" style="563" min="8960" max="8960"/>
    <col width="1.54296875" customWidth="1" style="563" min="8961" max="8961"/>
    <col width="6.1796875" customWidth="1" style="563" min="8962" max="8962"/>
    <col width="19.36328125" bestFit="1" customWidth="1" style="563" min="8963" max="8963"/>
    <col width="41.6328125" customWidth="1" style="563" min="8964" max="8964"/>
    <col width="36.36328125" customWidth="1" style="563" min="8965" max="8965"/>
    <col width="42.90625" customWidth="1" style="563" min="8966" max="8966"/>
    <col width="2.81640625" customWidth="1" style="563" min="8967" max="8967"/>
    <col width="26.08984375" customWidth="1" style="563" min="8968" max="8968"/>
    <col width="17.1796875" bestFit="1" customWidth="1" style="563" min="8969" max="8969"/>
    <col width="15.1796875" bestFit="1" customWidth="1" style="563" min="8970" max="8970"/>
    <col width="12.08984375" customWidth="1" style="563" min="8971" max="9214"/>
    <col width="1.54296875" customWidth="1" style="563" min="9215" max="9215"/>
    <col width="6.1796875" customWidth="1" style="563" min="9216" max="9216"/>
    <col width="1.54296875" customWidth="1" style="563" min="9217" max="9217"/>
    <col width="6.1796875" customWidth="1" style="563" min="9218" max="9218"/>
    <col width="19.36328125" bestFit="1" customWidth="1" style="563" min="9219" max="9219"/>
    <col width="41.6328125" customWidth="1" style="563" min="9220" max="9220"/>
    <col width="36.36328125" customWidth="1" style="563" min="9221" max="9221"/>
    <col width="42.90625" customWidth="1" style="563" min="9222" max="9222"/>
    <col width="2.81640625" customWidth="1" style="563" min="9223" max="9223"/>
    <col width="26.08984375" customWidth="1" style="563" min="9224" max="9224"/>
    <col width="17.1796875" bestFit="1" customWidth="1" style="563" min="9225" max="9225"/>
    <col width="15.1796875" bestFit="1" customWidth="1" style="563" min="9226" max="9226"/>
    <col width="12.08984375" customWidth="1" style="563" min="9227" max="9470"/>
    <col width="1.54296875" customWidth="1" style="563" min="9471" max="9471"/>
    <col width="6.1796875" customWidth="1" style="563" min="9472" max="9472"/>
    <col width="1.54296875" customWidth="1" style="563" min="9473" max="9473"/>
    <col width="6.1796875" customWidth="1" style="563" min="9474" max="9474"/>
    <col width="19.36328125" bestFit="1" customWidth="1" style="563" min="9475" max="9475"/>
    <col width="41.6328125" customWidth="1" style="563" min="9476" max="9476"/>
    <col width="36.36328125" customWidth="1" style="563" min="9477" max="9477"/>
    <col width="42.90625" customWidth="1" style="563" min="9478" max="9478"/>
    <col width="2.81640625" customWidth="1" style="563" min="9479" max="9479"/>
    <col width="26.08984375" customWidth="1" style="563" min="9480" max="9480"/>
    <col width="17.1796875" bestFit="1" customWidth="1" style="563" min="9481" max="9481"/>
    <col width="15.1796875" bestFit="1" customWidth="1" style="563" min="9482" max="9482"/>
    <col width="12.08984375" customWidth="1" style="563" min="9483" max="9726"/>
    <col width="1.54296875" customWidth="1" style="563" min="9727" max="9727"/>
    <col width="6.1796875" customWidth="1" style="563" min="9728" max="9728"/>
    <col width="1.54296875" customWidth="1" style="563" min="9729" max="9729"/>
    <col width="6.1796875" customWidth="1" style="563" min="9730" max="9730"/>
    <col width="19.36328125" bestFit="1" customWidth="1" style="563" min="9731" max="9731"/>
    <col width="41.6328125" customWidth="1" style="563" min="9732" max="9732"/>
    <col width="36.36328125" customWidth="1" style="563" min="9733" max="9733"/>
    <col width="42.90625" customWidth="1" style="563" min="9734" max="9734"/>
    <col width="2.81640625" customWidth="1" style="563" min="9735" max="9735"/>
    <col width="26.08984375" customWidth="1" style="563" min="9736" max="9736"/>
    <col width="17.1796875" bestFit="1" customWidth="1" style="563" min="9737" max="9737"/>
    <col width="15.1796875" bestFit="1" customWidth="1" style="563" min="9738" max="9738"/>
    <col width="12.08984375" customWidth="1" style="563" min="9739" max="9982"/>
    <col width="1.54296875" customWidth="1" style="563" min="9983" max="9983"/>
    <col width="6.1796875" customWidth="1" style="563" min="9984" max="9984"/>
    <col width="1.54296875" customWidth="1" style="563" min="9985" max="9985"/>
    <col width="6.1796875" customWidth="1" style="563" min="9986" max="9986"/>
    <col width="19.36328125" bestFit="1" customWidth="1" style="563" min="9987" max="9987"/>
    <col width="41.6328125" customWidth="1" style="563" min="9988" max="9988"/>
    <col width="36.36328125" customWidth="1" style="563" min="9989" max="9989"/>
    <col width="42.90625" customWidth="1" style="563" min="9990" max="9990"/>
    <col width="2.81640625" customWidth="1" style="563" min="9991" max="9991"/>
    <col width="26.08984375" customWidth="1" style="563" min="9992" max="9992"/>
    <col width="17.1796875" bestFit="1" customWidth="1" style="563" min="9993" max="9993"/>
    <col width="15.1796875" bestFit="1" customWidth="1" style="563" min="9994" max="9994"/>
    <col width="12.08984375" customWidth="1" style="563" min="9995" max="10238"/>
    <col width="1.54296875" customWidth="1" style="563" min="10239" max="10239"/>
    <col width="6.1796875" customWidth="1" style="563" min="10240" max="10240"/>
    <col width="1.54296875" customWidth="1" style="563" min="10241" max="10241"/>
    <col width="6.1796875" customWidth="1" style="563" min="10242" max="10242"/>
    <col width="19.36328125" bestFit="1" customWidth="1" style="563" min="10243" max="10243"/>
    <col width="41.6328125" customWidth="1" style="563" min="10244" max="10244"/>
    <col width="36.36328125" customWidth="1" style="563" min="10245" max="10245"/>
    <col width="42.90625" customWidth="1" style="563" min="10246" max="10246"/>
    <col width="2.81640625" customWidth="1" style="563" min="10247" max="10247"/>
    <col width="26.08984375" customWidth="1" style="563" min="10248" max="10248"/>
    <col width="17.1796875" bestFit="1" customWidth="1" style="563" min="10249" max="10249"/>
    <col width="15.1796875" bestFit="1" customWidth="1" style="563" min="10250" max="10250"/>
    <col width="12.08984375" customWidth="1" style="563" min="10251" max="10494"/>
    <col width="1.54296875" customWidth="1" style="563" min="10495" max="10495"/>
    <col width="6.1796875" customWidth="1" style="563" min="10496" max="10496"/>
    <col width="1.54296875" customWidth="1" style="563" min="10497" max="10497"/>
    <col width="6.1796875" customWidth="1" style="563" min="10498" max="10498"/>
    <col width="19.36328125" bestFit="1" customWidth="1" style="563" min="10499" max="10499"/>
    <col width="41.6328125" customWidth="1" style="563" min="10500" max="10500"/>
    <col width="36.36328125" customWidth="1" style="563" min="10501" max="10501"/>
    <col width="42.90625" customWidth="1" style="563" min="10502" max="10502"/>
    <col width="2.81640625" customWidth="1" style="563" min="10503" max="10503"/>
    <col width="26.08984375" customWidth="1" style="563" min="10504" max="10504"/>
    <col width="17.1796875" bestFit="1" customWidth="1" style="563" min="10505" max="10505"/>
    <col width="15.1796875" bestFit="1" customWidth="1" style="563" min="10506" max="10506"/>
    <col width="12.08984375" customWidth="1" style="563" min="10507" max="10750"/>
    <col width="1.54296875" customWidth="1" style="563" min="10751" max="10751"/>
    <col width="6.1796875" customWidth="1" style="563" min="10752" max="10752"/>
    <col width="1.54296875" customWidth="1" style="563" min="10753" max="10753"/>
    <col width="6.1796875" customWidth="1" style="563" min="10754" max="10754"/>
    <col width="19.36328125" bestFit="1" customWidth="1" style="563" min="10755" max="10755"/>
    <col width="41.6328125" customWidth="1" style="563" min="10756" max="10756"/>
    <col width="36.36328125" customWidth="1" style="563" min="10757" max="10757"/>
    <col width="42.90625" customWidth="1" style="563" min="10758" max="10758"/>
    <col width="2.81640625" customWidth="1" style="563" min="10759" max="10759"/>
    <col width="26.08984375" customWidth="1" style="563" min="10760" max="10760"/>
    <col width="17.1796875" bestFit="1" customWidth="1" style="563" min="10761" max="10761"/>
    <col width="15.1796875" bestFit="1" customWidth="1" style="563" min="10762" max="10762"/>
    <col width="12.08984375" customWidth="1" style="563" min="10763" max="11006"/>
    <col width="1.54296875" customWidth="1" style="563" min="11007" max="11007"/>
    <col width="6.1796875" customWidth="1" style="563" min="11008" max="11008"/>
    <col width="1.54296875" customWidth="1" style="563" min="11009" max="11009"/>
    <col width="6.1796875" customWidth="1" style="563" min="11010" max="11010"/>
    <col width="19.36328125" bestFit="1" customWidth="1" style="563" min="11011" max="11011"/>
    <col width="41.6328125" customWidth="1" style="563" min="11012" max="11012"/>
    <col width="36.36328125" customWidth="1" style="563" min="11013" max="11013"/>
    <col width="42.90625" customWidth="1" style="563" min="11014" max="11014"/>
    <col width="2.81640625" customWidth="1" style="563" min="11015" max="11015"/>
    <col width="26.08984375" customWidth="1" style="563" min="11016" max="11016"/>
    <col width="17.1796875" bestFit="1" customWidth="1" style="563" min="11017" max="11017"/>
    <col width="15.1796875" bestFit="1" customWidth="1" style="563" min="11018" max="11018"/>
    <col width="12.08984375" customWidth="1" style="563" min="11019" max="11262"/>
    <col width="1.54296875" customWidth="1" style="563" min="11263" max="11263"/>
    <col width="6.1796875" customWidth="1" style="563" min="11264" max="11264"/>
    <col width="1.54296875" customWidth="1" style="563" min="11265" max="11265"/>
    <col width="6.1796875" customWidth="1" style="563" min="11266" max="11266"/>
    <col width="19.36328125" bestFit="1" customWidth="1" style="563" min="11267" max="11267"/>
    <col width="41.6328125" customWidth="1" style="563" min="11268" max="11268"/>
    <col width="36.36328125" customWidth="1" style="563" min="11269" max="11269"/>
    <col width="42.90625" customWidth="1" style="563" min="11270" max="11270"/>
    <col width="2.81640625" customWidth="1" style="563" min="11271" max="11271"/>
    <col width="26.08984375" customWidth="1" style="563" min="11272" max="11272"/>
    <col width="17.1796875" bestFit="1" customWidth="1" style="563" min="11273" max="11273"/>
    <col width="15.1796875" bestFit="1" customWidth="1" style="563" min="11274" max="11274"/>
    <col width="12.08984375" customWidth="1" style="563" min="11275" max="11518"/>
    <col width="1.54296875" customWidth="1" style="563" min="11519" max="11519"/>
    <col width="6.1796875" customWidth="1" style="563" min="11520" max="11520"/>
    <col width="1.54296875" customWidth="1" style="563" min="11521" max="11521"/>
    <col width="6.1796875" customWidth="1" style="563" min="11522" max="11522"/>
    <col width="19.36328125" bestFit="1" customWidth="1" style="563" min="11523" max="11523"/>
    <col width="41.6328125" customWidth="1" style="563" min="11524" max="11524"/>
    <col width="36.36328125" customWidth="1" style="563" min="11525" max="11525"/>
    <col width="42.90625" customWidth="1" style="563" min="11526" max="11526"/>
    <col width="2.81640625" customWidth="1" style="563" min="11527" max="11527"/>
    <col width="26.08984375" customWidth="1" style="563" min="11528" max="11528"/>
    <col width="17.1796875" bestFit="1" customWidth="1" style="563" min="11529" max="11529"/>
    <col width="15.1796875" bestFit="1" customWidth="1" style="563" min="11530" max="11530"/>
    <col width="12.08984375" customWidth="1" style="563" min="11531" max="11774"/>
    <col width="1.54296875" customWidth="1" style="563" min="11775" max="11775"/>
    <col width="6.1796875" customWidth="1" style="563" min="11776" max="11776"/>
    <col width="1.54296875" customWidth="1" style="563" min="11777" max="11777"/>
    <col width="6.1796875" customWidth="1" style="563" min="11778" max="11778"/>
    <col width="19.36328125" bestFit="1" customWidth="1" style="563" min="11779" max="11779"/>
    <col width="41.6328125" customWidth="1" style="563" min="11780" max="11780"/>
    <col width="36.36328125" customWidth="1" style="563" min="11781" max="11781"/>
    <col width="42.90625" customWidth="1" style="563" min="11782" max="11782"/>
    <col width="2.81640625" customWidth="1" style="563" min="11783" max="11783"/>
    <col width="26.08984375" customWidth="1" style="563" min="11784" max="11784"/>
    <col width="17.1796875" bestFit="1" customWidth="1" style="563" min="11785" max="11785"/>
    <col width="15.1796875" bestFit="1" customWidth="1" style="563" min="11786" max="11786"/>
    <col width="12.08984375" customWidth="1" style="563" min="11787" max="12030"/>
    <col width="1.54296875" customWidth="1" style="563" min="12031" max="12031"/>
    <col width="6.1796875" customWidth="1" style="563" min="12032" max="12032"/>
    <col width="1.54296875" customWidth="1" style="563" min="12033" max="12033"/>
    <col width="6.1796875" customWidth="1" style="563" min="12034" max="12034"/>
    <col width="19.36328125" bestFit="1" customWidth="1" style="563" min="12035" max="12035"/>
    <col width="41.6328125" customWidth="1" style="563" min="12036" max="12036"/>
    <col width="36.36328125" customWidth="1" style="563" min="12037" max="12037"/>
    <col width="42.90625" customWidth="1" style="563" min="12038" max="12038"/>
    <col width="2.81640625" customWidth="1" style="563" min="12039" max="12039"/>
    <col width="26.08984375" customWidth="1" style="563" min="12040" max="12040"/>
    <col width="17.1796875" bestFit="1" customWidth="1" style="563" min="12041" max="12041"/>
    <col width="15.1796875" bestFit="1" customWidth="1" style="563" min="12042" max="12042"/>
    <col width="12.08984375" customWidth="1" style="563" min="12043" max="12286"/>
    <col width="1.54296875" customWidth="1" style="563" min="12287" max="12287"/>
    <col width="6.1796875" customWidth="1" style="563" min="12288" max="12288"/>
    <col width="1.54296875" customWidth="1" style="563" min="12289" max="12289"/>
    <col width="6.1796875" customWidth="1" style="563" min="12290" max="12290"/>
    <col width="19.36328125" bestFit="1" customWidth="1" style="563" min="12291" max="12291"/>
    <col width="41.6328125" customWidth="1" style="563" min="12292" max="12292"/>
    <col width="36.36328125" customWidth="1" style="563" min="12293" max="12293"/>
    <col width="42.90625" customWidth="1" style="563" min="12294" max="12294"/>
    <col width="2.81640625" customWidth="1" style="563" min="12295" max="12295"/>
    <col width="26.08984375" customWidth="1" style="563" min="12296" max="12296"/>
    <col width="17.1796875" bestFit="1" customWidth="1" style="563" min="12297" max="12297"/>
    <col width="15.1796875" bestFit="1" customWidth="1" style="563" min="12298" max="12298"/>
    <col width="12.08984375" customWidth="1" style="563" min="12299" max="12542"/>
    <col width="1.54296875" customWidth="1" style="563" min="12543" max="12543"/>
    <col width="6.1796875" customWidth="1" style="563" min="12544" max="12544"/>
    <col width="1.54296875" customWidth="1" style="563" min="12545" max="12545"/>
    <col width="6.1796875" customWidth="1" style="563" min="12546" max="12546"/>
    <col width="19.36328125" bestFit="1" customWidth="1" style="563" min="12547" max="12547"/>
    <col width="41.6328125" customWidth="1" style="563" min="12548" max="12548"/>
    <col width="36.36328125" customWidth="1" style="563" min="12549" max="12549"/>
    <col width="42.90625" customWidth="1" style="563" min="12550" max="12550"/>
    <col width="2.81640625" customWidth="1" style="563" min="12551" max="12551"/>
    <col width="26.08984375" customWidth="1" style="563" min="12552" max="12552"/>
    <col width="17.1796875" bestFit="1" customWidth="1" style="563" min="12553" max="12553"/>
    <col width="15.1796875" bestFit="1" customWidth="1" style="563" min="12554" max="12554"/>
    <col width="12.08984375" customWidth="1" style="563" min="12555" max="12798"/>
    <col width="1.54296875" customWidth="1" style="563" min="12799" max="12799"/>
    <col width="6.1796875" customWidth="1" style="563" min="12800" max="12800"/>
    <col width="1.54296875" customWidth="1" style="563" min="12801" max="12801"/>
    <col width="6.1796875" customWidth="1" style="563" min="12802" max="12802"/>
    <col width="19.36328125" bestFit="1" customWidth="1" style="563" min="12803" max="12803"/>
    <col width="41.6328125" customWidth="1" style="563" min="12804" max="12804"/>
    <col width="36.36328125" customWidth="1" style="563" min="12805" max="12805"/>
    <col width="42.90625" customWidth="1" style="563" min="12806" max="12806"/>
    <col width="2.81640625" customWidth="1" style="563" min="12807" max="12807"/>
    <col width="26.08984375" customWidth="1" style="563" min="12808" max="12808"/>
    <col width="17.1796875" bestFit="1" customWidth="1" style="563" min="12809" max="12809"/>
    <col width="15.1796875" bestFit="1" customWidth="1" style="563" min="12810" max="12810"/>
    <col width="12.08984375" customWidth="1" style="563" min="12811" max="13054"/>
    <col width="1.54296875" customWidth="1" style="563" min="13055" max="13055"/>
    <col width="6.1796875" customWidth="1" style="563" min="13056" max="13056"/>
    <col width="1.54296875" customWidth="1" style="563" min="13057" max="13057"/>
    <col width="6.1796875" customWidth="1" style="563" min="13058" max="13058"/>
    <col width="19.36328125" bestFit="1" customWidth="1" style="563" min="13059" max="13059"/>
    <col width="41.6328125" customWidth="1" style="563" min="13060" max="13060"/>
    <col width="36.36328125" customWidth="1" style="563" min="13061" max="13061"/>
    <col width="42.90625" customWidth="1" style="563" min="13062" max="13062"/>
    <col width="2.81640625" customWidth="1" style="563" min="13063" max="13063"/>
    <col width="26.08984375" customWidth="1" style="563" min="13064" max="13064"/>
    <col width="17.1796875" bestFit="1" customWidth="1" style="563" min="13065" max="13065"/>
    <col width="15.1796875" bestFit="1" customWidth="1" style="563" min="13066" max="13066"/>
    <col width="12.08984375" customWidth="1" style="563" min="13067" max="13310"/>
    <col width="1.54296875" customWidth="1" style="563" min="13311" max="13311"/>
    <col width="6.1796875" customWidth="1" style="563" min="13312" max="13312"/>
    <col width="1.54296875" customWidth="1" style="563" min="13313" max="13313"/>
    <col width="6.1796875" customWidth="1" style="563" min="13314" max="13314"/>
    <col width="19.36328125" bestFit="1" customWidth="1" style="563" min="13315" max="13315"/>
    <col width="41.6328125" customWidth="1" style="563" min="13316" max="13316"/>
    <col width="36.36328125" customWidth="1" style="563" min="13317" max="13317"/>
    <col width="42.90625" customWidth="1" style="563" min="13318" max="13318"/>
    <col width="2.81640625" customWidth="1" style="563" min="13319" max="13319"/>
    <col width="26.08984375" customWidth="1" style="563" min="13320" max="13320"/>
    <col width="17.1796875" bestFit="1" customWidth="1" style="563" min="13321" max="13321"/>
    <col width="15.1796875" bestFit="1" customWidth="1" style="563" min="13322" max="13322"/>
    <col width="12.08984375" customWidth="1" style="563" min="13323" max="13566"/>
    <col width="1.54296875" customWidth="1" style="563" min="13567" max="13567"/>
    <col width="6.1796875" customWidth="1" style="563" min="13568" max="13568"/>
    <col width="1.54296875" customWidth="1" style="563" min="13569" max="13569"/>
    <col width="6.1796875" customWidth="1" style="563" min="13570" max="13570"/>
    <col width="19.36328125" bestFit="1" customWidth="1" style="563" min="13571" max="13571"/>
    <col width="41.6328125" customWidth="1" style="563" min="13572" max="13572"/>
    <col width="36.36328125" customWidth="1" style="563" min="13573" max="13573"/>
    <col width="42.90625" customWidth="1" style="563" min="13574" max="13574"/>
    <col width="2.81640625" customWidth="1" style="563" min="13575" max="13575"/>
    <col width="26.08984375" customWidth="1" style="563" min="13576" max="13576"/>
    <col width="17.1796875" bestFit="1" customWidth="1" style="563" min="13577" max="13577"/>
    <col width="15.1796875" bestFit="1" customWidth="1" style="563" min="13578" max="13578"/>
    <col width="12.08984375" customWidth="1" style="563" min="13579" max="13822"/>
    <col width="1.54296875" customWidth="1" style="563" min="13823" max="13823"/>
    <col width="6.1796875" customWidth="1" style="563" min="13824" max="13824"/>
    <col width="1.54296875" customWidth="1" style="563" min="13825" max="13825"/>
    <col width="6.1796875" customWidth="1" style="563" min="13826" max="13826"/>
    <col width="19.36328125" bestFit="1" customWidth="1" style="563" min="13827" max="13827"/>
    <col width="41.6328125" customWidth="1" style="563" min="13828" max="13828"/>
    <col width="36.36328125" customWidth="1" style="563" min="13829" max="13829"/>
    <col width="42.90625" customWidth="1" style="563" min="13830" max="13830"/>
    <col width="2.81640625" customWidth="1" style="563" min="13831" max="13831"/>
    <col width="26.08984375" customWidth="1" style="563" min="13832" max="13832"/>
    <col width="17.1796875" bestFit="1" customWidth="1" style="563" min="13833" max="13833"/>
    <col width="15.1796875" bestFit="1" customWidth="1" style="563" min="13834" max="13834"/>
    <col width="12.08984375" customWidth="1" style="563" min="13835" max="14078"/>
    <col width="1.54296875" customWidth="1" style="563" min="14079" max="14079"/>
    <col width="6.1796875" customWidth="1" style="563" min="14080" max="14080"/>
    <col width="1.54296875" customWidth="1" style="563" min="14081" max="14081"/>
    <col width="6.1796875" customWidth="1" style="563" min="14082" max="14082"/>
    <col width="19.36328125" bestFit="1" customWidth="1" style="563" min="14083" max="14083"/>
    <col width="41.6328125" customWidth="1" style="563" min="14084" max="14084"/>
    <col width="36.36328125" customWidth="1" style="563" min="14085" max="14085"/>
    <col width="42.90625" customWidth="1" style="563" min="14086" max="14086"/>
    <col width="2.81640625" customWidth="1" style="563" min="14087" max="14087"/>
    <col width="26.08984375" customWidth="1" style="563" min="14088" max="14088"/>
    <col width="17.1796875" bestFit="1" customWidth="1" style="563" min="14089" max="14089"/>
    <col width="15.1796875" bestFit="1" customWidth="1" style="563" min="14090" max="14090"/>
    <col width="12.08984375" customWidth="1" style="563" min="14091" max="14334"/>
    <col width="1.54296875" customWidth="1" style="563" min="14335" max="14335"/>
    <col width="6.1796875" customWidth="1" style="563" min="14336" max="14336"/>
    <col width="1.54296875" customWidth="1" style="563" min="14337" max="14337"/>
    <col width="6.1796875" customWidth="1" style="563" min="14338" max="14338"/>
    <col width="19.36328125" bestFit="1" customWidth="1" style="563" min="14339" max="14339"/>
    <col width="41.6328125" customWidth="1" style="563" min="14340" max="14340"/>
    <col width="36.36328125" customWidth="1" style="563" min="14341" max="14341"/>
    <col width="42.90625" customWidth="1" style="563" min="14342" max="14342"/>
    <col width="2.81640625" customWidth="1" style="563" min="14343" max="14343"/>
    <col width="26.08984375" customWidth="1" style="563" min="14344" max="14344"/>
    <col width="17.1796875" bestFit="1" customWidth="1" style="563" min="14345" max="14345"/>
    <col width="15.1796875" bestFit="1" customWidth="1" style="563" min="14346" max="14346"/>
    <col width="12.08984375" customWidth="1" style="563" min="14347" max="14590"/>
    <col width="1.54296875" customWidth="1" style="563" min="14591" max="14591"/>
    <col width="6.1796875" customWidth="1" style="563" min="14592" max="14592"/>
    <col width="1.54296875" customWidth="1" style="563" min="14593" max="14593"/>
    <col width="6.1796875" customWidth="1" style="563" min="14594" max="14594"/>
    <col width="19.36328125" bestFit="1" customWidth="1" style="563" min="14595" max="14595"/>
    <col width="41.6328125" customWidth="1" style="563" min="14596" max="14596"/>
    <col width="36.36328125" customWidth="1" style="563" min="14597" max="14597"/>
    <col width="42.90625" customWidth="1" style="563" min="14598" max="14598"/>
    <col width="2.81640625" customWidth="1" style="563" min="14599" max="14599"/>
    <col width="26.08984375" customWidth="1" style="563" min="14600" max="14600"/>
    <col width="17.1796875" bestFit="1" customWidth="1" style="563" min="14601" max="14601"/>
    <col width="15.1796875" bestFit="1" customWidth="1" style="563" min="14602" max="14602"/>
    <col width="12.08984375" customWidth="1" style="563" min="14603" max="14846"/>
    <col width="1.54296875" customWidth="1" style="563" min="14847" max="14847"/>
    <col width="6.1796875" customWidth="1" style="563" min="14848" max="14848"/>
    <col width="1.54296875" customWidth="1" style="563" min="14849" max="14849"/>
    <col width="6.1796875" customWidth="1" style="563" min="14850" max="14850"/>
    <col width="19.36328125" bestFit="1" customWidth="1" style="563" min="14851" max="14851"/>
    <col width="41.6328125" customWidth="1" style="563" min="14852" max="14852"/>
    <col width="36.36328125" customWidth="1" style="563" min="14853" max="14853"/>
    <col width="42.90625" customWidth="1" style="563" min="14854" max="14854"/>
    <col width="2.81640625" customWidth="1" style="563" min="14855" max="14855"/>
    <col width="26.08984375" customWidth="1" style="563" min="14856" max="14856"/>
    <col width="17.1796875" bestFit="1" customWidth="1" style="563" min="14857" max="14857"/>
    <col width="15.1796875" bestFit="1" customWidth="1" style="563" min="14858" max="14858"/>
    <col width="12.08984375" customWidth="1" style="563" min="14859" max="15102"/>
    <col width="1.54296875" customWidth="1" style="563" min="15103" max="15103"/>
    <col width="6.1796875" customWidth="1" style="563" min="15104" max="15104"/>
    <col width="1.54296875" customWidth="1" style="563" min="15105" max="15105"/>
    <col width="6.1796875" customWidth="1" style="563" min="15106" max="15106"/>
    <col width="19.36328125" bestFit="1" customWidth="1" style="563" min="15107" max="15107"/>
    <col width="41.6328125" customWidth="1" style="563" min="15108" max="15108"/>
    <col width="36.36328125" customWidth="1" style="563" min="15109" max="15109"/>
    <col width="42.90625" customWidth="1" style="563" min="15110" max="15110"/>
    <col width="2.81640625" customWidth="1" style="563" min="15111" max="15111"/>
    <col width="26.08984375" customWidth="1" style="563" min="15112" max="15112"/>
    <col width="17.1796875" bestFit="1" customWidth="1" style="563" min="15113" max="15113"/>
    <col width="15.1796875" bestFit="1" customWidth="1" style="563" min="15114" max="15114"/>
    <col width="12.08984375" customWidth="1" style="563" min="15115" max="15358"/>
    <col width="1.54296875" customWidth="1" style="563" min="15359" max="15359"/>
    <col width="6.1796875" customWidth="1" style="563" min="15360" max="15360"/>
    <col width="1.54296875" customWidth="1" style="563" min="15361" max="15361"/>
    <col width="6.1796875" customWidth="1" style="563" min="15362" max="15362"/>
    <col width="19.36328125" bestFit="1" customWidth="1" style="563" min="15363" max="15363"/>
    <col width="41.6328125" customWidth="1" style="563" min="15364" max="15364"/>
    <col width="36.36328125" customWidth="1" style="563" min="15365" max="15365"/>
    <col width="42.90625" customWidth="1" style="563" min="15366" max="15366"/>
    <col width="2.81640625" customWidth="1" style="563" min="15367" max="15367"/>
    <col width="26.08984375" customWidth="1" style="563" min="15368" max="15368"/>
    <col width="17.1796875" bestFit="1" customWidth="1" style="563" min="15369" max="15369"/>
    <col width="15.1796875" bestFit="1" customWidth="1" style="563" min="15370" max="15370"/>
    <col width="12.08984375" customWidth="1" style="563" min="15371" max="15614"/>
    <col width="1.54296875" customWidth="1" style="563" min="15615" max="15615"/>
    <col width="6.1796875" customWidth="1" style="563" min="15616" max="15616"/>
    <col width="1.54296875" customWidth="1" style="563" min="15617" max="15617"/>
    <col width="6.1796875" customWidth="1" style="563" min="15618" max="15618"/>
    <col width="19.36328125" bestFit="1" customWidth="1" style="563" min="15619" max="15619"/>
    <col width="41.6328125" customWidth="1" style="563" min="15620" max="15620"/>
    <col width="36.36328125" customWidth="1" style="563" min="15621" max="15621"/>
    <col width="42.90625" customWidth="1" style="563" min="15622" max="15622"/>
    <col width="2.81640625" customWidth="1" style="563" min="15623" max="15623"/>
    <col width="26.08984375" customWidth="1" style="563" min="15624" max="15624"/>
    <col width="17.1796875" bestFit="1" customWidth="1" style="563" min="15625" max="15625"/>
    <col width="15.1796875" bestFit="1" customWidth="1" style="563" min="15626" max="15626"/>
    <col width="12.08984375" customWidth="1" style="563" min="15627" max="15870"/>
    <col width="1.54296875" customWidth="1" style="563" min="15871" max="15871"/>
    <col width="6.1796875" customWidth="1" style="563" min="15872" max="15872"/>
    <col width="1.54296875" customWidth="1" style="563" min="15873" max="15873"/>
    <col width="6.1796875" customWidth="1" style="563" min="15874" max="15874"/>
    <col width="19.36328125" bestFit="1" customWidth="1" style="563" min="15875" max="15875"/>
    <col width="41.6328125" customWidth="1" style="563" min="15876" max="15876"/>
    <col width="36.36328125" customWidth="1" style="563" min="15877" max="15877"/>
    <col width="42.90625" customWidth="1" style="563" min="15878" max="15878"/>
    <col width="2.81640625" customWidth="1" style="563" min="15879" max="15879"/>
    <col width="26.08984375" customWidth="1" style="563" min="15880" max="15880"/>
    <col width="17.1796875" bestFit="1" customWidth="1" style="563" min="15881" max="15881"/>
    <col width="15.1796875" bestFit="1" customWidth="1" style="563" min="15882" max="15882"/>
    <col width="12.08984375" customWidth="1" style="563" min="15883" max="16126"/>
    <col width="1.54296875" customWidth="1" style="563" min="16127" max="16127"/>
    <col width="6.1796875" customWidth="1" style="563" min="16128" max="16128"/>
    <col width="1.54296875" customWidth="1" style="563" min="16129" max="16129"/>
    <col width="6.1796875" customWidth="1" style="563" min="16130" max="16130"/>
    <col width="19.36328125" bestFit="1" customWidth="1" style="563" min="16131" max="16131"/>
    <col width="41.6328125" customWidth="1" style="563" min="16132" max="16132"/>
    <col width="36.36328125" customWidth="1" style="563" min="16133" max="16133"/>
    <col width="42.90625" customWidth="1" style="563" min="16134" max="16134"/>
    <col width="2.81640625" customWidth="1" style="563" min="16135" max="16135"/>
    <col width="26.08984375" customWidth="1" style="563" min="16136" max="16136"/>
    <col width="17.1796875" bestFit="1" customWidth="1" style="563" min="16137" max="16137"/>
    <col width="15.1796875" bestFit="1" customWidth="1" style="563" min="16138" max="16138"/>
    <col width="12.08984375" customWidth="1" style="563" min="16139" max="16382"/>
    <col width="1.54296875" customWidth="1" style="563" min="16383" max="16383"/>
    <col width="6.1796875" customWidth="1" style="563" min="16384" max="16384"/>
  </cols>
  <sheetData>
    <row r="1" ht="19" customHeight="1" s="581" thickBot="1">
      <c r="B1" s="607" t="inlineStr">
        <is>
          <t>For Bills payment, Agent will earn 25% cashback on commission due to 9PSB. This will be instantly credited to their commission wallets</t>
        </is>
      </c>
      <c r="C1" s="570" t="n"/>
      <c r="D1" s="570" t="n"/>
      <c r="E1" s="570" t="n"/>
      <c r="F1" s="570" t="n"/>
    </row>
    <row r="2" ht="14" customHeight="1" s="581" thickBot="1">
      <c r="B2" s="606" t="inlineStr">
        <is>
          <t xml:space="preserve">TRANSACTION TYPE : Bills Payment </t>
        </is>
      </c>
    </row>
    <row r="3" ht="14.5" customHeight="1" s="581" thickBot="1">
      <c r="B3" s="579" t="inlineStr">
        <is>
          <t xml:space="preserve">On Elkanah's Agent Banking System </t>
        </is>
      </c>
      <c r="C3" s="573" t="n"/>
      <c r="D3" s="573" t="n"/>
      <c r="E3" s="573" t="n"/>
      <c r="F3" s="574" t="n"/>
    </row>
    <row r="4" ht="14" customFormat="1" customHeight="1" s="2" thickBot="1">
      <c r="B4" s="94" t="inlineStr">
        <is>
          <t>Type</t>
        </is>
      </c>
      <c r="C4" s="95" t="inlineStr">
        <is>
          <t>Account Number</t>
        </is>
      </c>
      <c r="D4" s="95" t="inlineStr">
        <is>
          <t>Name</t>
        </is>
      </c>
      <c r="E4" s="95" t="inlineStr">
        <is>
          <t>Amount</t>
        </is>
      </c>
      <c r="F4" s="96" t="inlineStr">
        <is>
          <t>Value</t>
        </is>
      </c>
      <c r="I4" s="563" t="n"/>
    </row>
    <row r="5">
      <c r="B5" s="98" t="inlineStr">
        <is>
          <t>DR</t>
        </is>
      </c>
      <c r="C5" s="83" t="inlineStr">
        <is>
          <t xml:space="preserve">YYYYYYYYYY  </t>
        </is>
      </c>
      <c r="D5" s="83" t="inlineStr">
        <is>
          <t>Agent's Main Wallet</t>
        </is>
      </c>
      <c r="E5" s="83" t="inlineStr">
        <is>
          <t xml:space="preserve">Tranx Amt </t>
        </is>
      </c>
      <c r="F5" s="192" t="inlineStr">
        <is>
          <t>Nxxx</t>
        </is>
      </c>
    </row>
    <row r="6">
      <c r="B6" s="85" t="inlineStr">
        <is>
          <t>CR</t>
        </is>
      </c>
      <c r="C6" s="81" t="inlineStr">
        <is>
          <t>WWWWWWWWWW</t>
        </is>
      </c>
      <c r="D6" s="81" t="inlineStr">
        <is>
          <t>Elkanah Wallet Suspense Account</t>
        </is>
      </c>
      <c r="E6" s="81" t="inlineStr">
        <is>
          <t>Tranx Amt less Cashback</t>
        </is>
      </c>
      <c r="F6" s="195" t="inlineStr">
        <is>
          <t>Nxxx * (1 - CB%)</t>
        </is>
      </c>
      <c r="G6" s="733" t="n"/>
      <c r="H6" s="776" t="n"/>
      <c r="I6" s="777" t="n"/>
    </row>
    <row r="7" ht="14" customHeight="1" s="581" thickBot="1">
      <c r="B7" s="101" t="inlineStr">
        <is>
          <t>CR</t>
        </is>
      </c>
      <c r="C7" s="102" t="inlineStr">
        <is>
          <t>ICICICIC</t>
        </is>
      </c>
      <c r="D7" s="102" t="inlineStr">
        <is>
          <t>Agent Commission Wallet</t>
        </is>
      </c>
      <c r="E7" s="102" t="inlineStr">
        <is>
          <t>Cashback Amount</t>
        </is>
      </c>
      <c r="F7" s="358" t="inlineStr">
        <is>
          <t>Nxxx * CB%</t>
        </is>
      </c>
      <c r="G7" s="733" t="n"/>
      <c r="H7" s="776" t="n"/>
      <c r="I7" s="777" t="n"/>
    </row>
    <row r="8">
      <c r="F8" s="364" t="n"/>
      <c r="H8" s="776" t="n"/>
      <c r="I8" s="658" t="n"/>
    </row>
    <row r="9" ht="14" customHeight="1" s="581" thickBot="1">
      <c r="B9" s="2" t="n"/>
      <c r="H9" s="778" t="n"/>
    </row>
    <row r="10" ht="15" customHeight="1" s="581" thickBot="1">
      <c r="B10" s="579" t="inlineStr">
        <is>
          <t xml:space="preserve">On the Core Banking System : Bills Payment </t>
        </is>
      </c>
      <c r="C10" s="573" t="n"/>
      <c r="D10" s="573" t="n"/>
      <c r="E10" s="574" t="n"/>
    </row>
    <row r="11" ht="14" customFormat="1" customHeight="1" s="2" thickBot="1">
      <c r="B11" s="105" t="inlineStr">
        <is>
          <t>Type</t>
        </is>
      </c>
      <c r="C11" s="106" t="inlineStr">
        <is>
          <t>Account Number</t>
        </is>
      </c>
      <c r="D11" s="106" t="inlineStr">
        <is>
          <t>Name</t>
        </is>
      </c>
      <c r="E11" s="311" t="inlineStr">
        <is>
          <t>Amount</t>
        </is>
      </c>
      <c r="F11" s="194" t="inlineStr">
        <is>
          <t>Value</t>
        </is>
      </c>
      <c r="H11" s="779" t="n"/>
    </row>
    <row r="12">
      <c r="B12" s="98" t="inlineStr">
        <is>
          <t>DR</t>
        </is>
      </c>
      <c r="C12" s="125" t="n">
        <v>10120004</v>
      </c>
      <c r="D12" s="120" t="inlineStr">
        <is>
          <t>Float Account - Agent Banking</t>
        </is>
      </c>
      <c r="E12" s="83" t="inlineStr">
        <is>
          <t>Tranx Amt less Agent Cashback</t>
        </is>
      </c>
      <c r="F12" s="355" t="inlineStr">
        <is>
          <t>Nxxx</t>
        </is>
      </c>
    </row>
    <row r="13" ht="14.5" customHeight="1" s="581">
      <c r="B13" s="85" t="inlineStr">
        <is>
          <t>CR</t>
        </is>
      </c>
      <c r="C13" s="392" t="n">
        <v>20070051</v>
      </c>
      <c r="D13" s="122" t="inlineStr">
        <is>
          <t xml:space="preserve">Onafriq Bills Payment Payable </t>
        </is>
      </c>
      <c r="E13" s="81" t="inlineStr">
        <is>
          <t>Tranx Amt less total comm</t>
        </is>
      </c>
      <c r="F13" s="195" t="inlineStr">
        <is>
          <t>Nxxx * (1 - TC%)</t>
        </is>
      </c>
    </row>
    <row r="14">
      <c r="B14" s="85" t="inlineStr">
        <is>
          <t>CR</t>
        </is>
      </c>
      <c r="C14" s="152" t="n">
        <v>40060009</v>
      </c>
      <c r="D14" s="81" t="inlineStr">
        <is>
          <t>Bills Payment Commission (Agent Banking)</t>
        </is>
      </c>
      <c r="E14" s="123" t="inlineStr">
        <is>
          <t>Fees due to 9PSB</t>
        </is>
      </c>
      <c r="F14" s="780" t="inlineStr">
        <is>
          <t xml:space="preserve">Nxxx * PB% </t>
        </is>
      </c>
    </row>
    <row r="15">
      <c r="B15" s="360" t="inlineStr">
        <is>
          <t>CR</t>
        </is>
      </c>
      <c r="C15" s="365" t="n">
        <v>20070049</v>
      </c>
      <c r="D15" s="362" t="inlineStr">
        <is>
          <t>VAT - Output</t>
        </is>
      </c>
      <c r="E15" s="362" t="inlineStr">
        <is>
          <t>VAT on Fees due to 9PSB</t>
        </is>
      </c>
      <c r="F15" s="782" t="inlineStr">
        <is>
          <t xml:space="preserve">Nxxx * VT% </t>
        </is>
      </c>
    </row>
    <row r="16" ht="14" customHeight="1" s="581" thickBot="1">
      <c r="B16" s="87" t="inlineStr">
        <is>
          <t>CR</t>
        </is>
      </c>
      <c r="C16" s="393" t="n">
        <v>20070068</v>
      </c>
      <c r="D16" s="119" t="inlineStr">
        <is>
          <t>Commission_Cashback Payable For Bank9ja Business</t>
        </is>
      </c>
      <c r="E16" s="119" t="inlineStr">
        <is>
          <t>Cashback Amount</t>
        </is>
      </c>
      <c r="F16" s="783" t="inlineStr">
        <is>
          <t>Nxxx * CB%</t>
        </is>
      </c>
    </row>
  </sheetData>
  <mergeCells count="4">
    <mergeCell ref="B2:F2"/>
    <mergeCell ref="B10:E10"/>
    <mergeCell ref="B1:F1"/>
    <mergeCell ref="B3:F3"/>
  </mergeCells>
  <pageMargins left="0.7086614173228347" right="0.7086614173228347" top="0.7480314960629921" bottom="0.7480314960629921" header="0.3149606299212598" footer="0.3149606299212598"/>
  <pageSetup orientation="portrait" paperSize="9" scale="67"/>
</worksheet>
</file>

<file path=xl/worksheets/sheet20.xml><?xml version="1.0" encoding="utf-8"?>
<worksheet xmlns="http://schemas.openxmlformats.org/spreadsheetml/2006/main">
  <sheetPr>
    <tabColor theme="2" tint="-0.749992370372631"/>
    <outlinePr summaryBelow="1" summaryRight="1"/>
    <pageSetUpPr/>
  </sheetPr>
  <dimension ref="B1:J45"/>
  <sheetViews>
    <sheetView workbookViewId="0">
      <pane ySplit="3" topLeftCell="A4" activePane="bottomLeft" state="frozen"/>
      <selection activeCell="D17" sqref="D17"/>
      <selection pane="bottomLeft" activeCell="E37" sqref="E37"/>
    </sheetView>
  </sheetViews>
  <sheetFormatPr baseColWidth="8" defaultRowHeight="14.5"/>
  <cols>
    <col width="3.36328125" customWidth="1" style="581" min="1" max="1"/>
    <col width="10.90625" customWidth="1" style="581" min="3" max="3"/>
    <col width="26.81640625" customWidth="1" style="581" min="4" max="4"/>
    <col width="17.26953125" customWidth="1" style="581" min="5" max="5"/>
    <col width="16.54296875" customWidth="1" style="581" min="6" max="6"/>
    <col width="20.54296875" customWidth="1" style="581" min="7" max="7"/>
    <col width="19.36328125" customWidth="1" style="581" min="8" max="8"/>
    <col width="14.1796875" customWidth="1" style="581" min="9" max="9"/>
    <col width="14.08984375" customWidth="1" style="581" min="10" max="10"/>
    <col width="3.36328125" customWidth="1" style="581" min="253" max="253"/>
    <col width="10.90625" customWidth="1" style="581" min="255" max="255"/>
    <col width="13.26953125" customWidth="1" style="581" min="256" max="256"/>
    <col width="17.26953125" customWidth="1" style="581" min="257" max="257"/>
    <col width="16.54296875" customWidth="1" style="581" min="258" max="259"/>
    <col width="14.6328125" customWidth="1" style="581" min="260" max="260"/>
    <col width="13.81640625" bestFit="1" customWidth="1" style="581" min="261" max="261"/>
    <col width="20.54296875" customWidth="1" style="581" min="262" max="262"/>
    <col width="19.36328125" customWidth="1" style="581" min="263" max="263"/>
    <col width="14.1796875" customWidth="1" style="581" min="264" max="264"/>
    <col width="14.08984375" customWidth="1" style="581" min="265" max="265"/>
    <col width="3.36328125" customWidth="1" style="581" min="509" max="509"/>
    <col width="10.90625" customWidth="1" style="581" min="511" max="511"/>
    <col width="13.26953125" customWidth="1" style="581" min="512" max="512"/>
    <col width="17.26953125" customWidth="1" style="581" min="513" max="513"/>
    <col width="16.54296875" customWidth="1" style="581" min="514" max="515"/>
    <col width="14.6328125" customWidth="1" style="581" min="516" max="516"/>
    <col width="13.81640625" bestFit="1" customWidth="1" style="581" min="517" max="517"/>
    <col width="20.54296875" customWidth="1" style="581" min="518" max="518"/>
    <col width="19.36328125" customWidth="1" style="581" min="519" max="519"/>
    <col width="14.1796875" customWidth="1" style="581" min="520" max="520"/>
    <col width="14.08984375" customWidth="1" style="581" min="521" max="521"/>
    <col width="3.36328125" customWidth="1" style="581" min="765" max="765"/>
    <col width="10.90625" customWidth="1" style="581" min="767" max="767"/>
    <col width="13.26953125" customWidth="1" style="581" min="768" max="768"/>
    <col width="17.26953125" customWidth="1" style="581" min="769" max="769"/>
    <col width="16.54296875" customWidth="1" style="581" min="770" max="771"/>
    <col width="14.6328125" customWidth="1" style="581" min="772" max="772"/>
    <col width="13.81640625" bestFit="1" customWidth="1" style="581" min="773" max="773"/>
    <col width="20.54296875" customWidth="1" style="581" min="774" max="774"/>
    <col width="19.36328125" customWidth="1" style="581" min="775" max="775"/>
    <col width="14.1796875" customWidth="1" style="581" min="776" max="776"/>
    <col width="14.08984375" customWidth="1" style="581" min="777" max="777"/>
    <col width="3.36328125" customWidth="1" style="581" min="1021" max="1021"/>
    <col width="10.90625" customWidth="1" style="581" min="1023" max="1023"/>
    <col width="13.26953125" customWidth="1" style="581" min="1024" max="1024"/>
    <col width="17.26953125" customWidth="1" style="581" min="1025" max="1025"/>
    <col width="16.54296875" customWidth="1" style="581" min="1026" max="1027"/>
    <col width="14.6328125" customWidth="1" style="581" min="1028" max="1028"/>
    <col width="13.81640625" bestFit="1" customWidth="1" style="581" min="1029" max="1029"/>
    <col width="20.54296875" customWidth="1" style="581" min="1030" max="1030"/>
    <col width="19.36328125" customWidth="1" style="581" min="1031" max="1031"/>
    <col width="14.1796875" customWidth="1" style="581" min="1032" max="1032"/>
    <col width="14.08984375" customWidth="1" style="581" min="1033" max="1033"/>
    <col width="3.36328125" customWidth="1" style="581" min="1277" max="1277"/>
    <col width="10.90625" customWidth="1" style="581" min="1279" max="1279"/>
    <col width="13.26953125" customWidth="1" style="581" min="1280" max="1280"/>
    <col width="17.26953125" customWidth="1" style="581" min="1281" max="1281"/>
    <col width="16.54296875" customWidth="1" style="581" min="1282" max="1283"/>
    <col width="14.6328125" customWidth="1" style="581" min="1284" max="1284"/>
    <col width="13.81640625" bestFit="1" customWidth="1" style="581" min="1285" max="1285"/>
    <col width="20.54296875" customWidth="1" style="581" min="1286" max="1286"/>
    <col width="19.36328125" customWidth="1" style="581" min="1287" max="1287"/>
    <col width="14.1796875" customWidth="1" style="581" min="1288" max="1288"/>
    <col width="14.08984375" customWidth="1" style="581" min="1289" max="1289"/>
    <col width="3.36328125" customWidth="1" style="581" min="1533" max="1533"/>
    <col width="10.90625" customWidth="1" style="581" min="1535" max="1535"/>
    <col width="13.26953125" customWidth="1" style="581" min="1536" max="1536"/>
    <col width="17.26953125" customWidth="1" style="581" min="1537" max="1537"/>
    <col width="16.54296875" customWidth="1" style="581" min="1538" max="1539"/>
    <col width="14.6328125" customWidth="1" style="581" min="1540" max="1540"/>
    <col width="13.81640625" bestFit="1" customWidth="1" style="581" min="1541" max="1541"/>
    <col width="20.54296875" customWidth="1" style="581" min="1542" max="1542"/>
    <col width="19.36328125" customWidth="1" style="581" min="1543" max="1543"/>
    <col width="14.1796875" customWidth="1" style="581" min="1544" max="1544"/>
    <col width="14.08984375" customWidth="1" style="581" min="1545" max="1545"/>
    <col width="3.36328125" customWidth="1" style="581" min="1789" max="1789"/>
    <col width="10.90625" customWidth="1" style="581" min="1791" max="1791"/>
    <col width="13.26953125" customWidth="1" style="581" min="1792" max="1792"/>
    <col width="17.26953125" customWidth="1" style="581" min="1793" max="1793"/>
    <col width="16.54296875" customWidth="1" style="581" min="1794" max="1795"/>
    <col width="14.6328125" customWidth="1" style="581" min="1796" max="1796"/>
    <col width="13.81640625" bestFit="1" customWidth="1" style="581" min="1797" max="1797"/>
    <col width="20.54296875" customWidth="1" style="581" min="1798" max="1798"/>
    <col width="19.36328125" customWidth="1" style="581" min="1799" max="1799"/>
    <col width="14.1796875" customWidth="1" style="581" min="1800" max="1800"/>
    <col width="14.08984375" customWidth="1" style="581" min="1801" max="1801"/>
    <col width="3.36328125" customWidth="1" style="581" min="2045" max="2045"/>
    <col width="10.90625" customWidth="1" style="581" min="2047" max="2047"/>
    <col width="13.26953125" customWidth="1" style="581" min="2048" max="2048"/>
    <col width="17.26953125" customWidth="1" style="581" min="2049" max="2049"/>
    <col width="16.54296875" customWidth="1" style="581" min="2050" max="2051"/>
    <col width="14.6328125" customWidth="1" style="581" min="2052" max="2052"/>
    <col width="13.81640625" bestFit="1" customWidth="1" style="581" min="2053" max="2053"/>
    <col width="20.54296875" customWidth="1" style="581" min="2054" max="2054"/>
    <col width="19.36328125" customWidth="1" style="581" min="2055" max="2055"/>
    <col width="14.1796875" customWidth="1" style="581" min="2056" max="2056"/>
    <col width="14.08984375" customWidth="1" style="581" min="2057" max="2057"/>
    <col width="3.36328125" customWidth="1" style="581" min="2301" max="2301"/>
    <col width="10.90625" customWidth="1" style="581" min="2303" max="2303"/>
    <col width="13.26953125" customWidth="1" style="581" min="2304" max="2304"/>
    <col width="17.26953125" customWidth="1" style="581" min="2305" max="2305"/>
    <col width="16.54296875" customWidth="1" style="581" min="2306" max="2307"/>
    <col width="14.6328125" customWidth="1" style="581" min="2308" max="2308"/>
    <col width="13.81640625" bestFit="1" customWidth="1" style="581" min="2309" max="2309"/>
    <col width="20.54296875" customWidth="1" style="581" min="2310" max="2310"/>
    <col width="19.36328125" customWidth="1" style="581" min="2311" max="2311"/>
    <col width="14.1796875" customWidth="1" style="581" min="2312" max="2312"/>
    <col width="14.08984375" customWidth="1" style="581" min="2313" max="2313"/>
    <col width="3.36328125" customWidth="1" style="581" min="2557" max="2557"/>
    <col width="10.90625" customWidth="1" style="581" min="2559" max="2559"/>
    <col width="13.26953125" customWidth="1" style="581" min="2560" max="2560"/>
    <col width="17.26953125" customWidth="1" style="581" min="2561" max="2561"/>
    <col width="16.54296875" customWidth="1" style="581" min="2562" max="2563"/>
    <col width="14.6328125" customWidth="1" style="581" min="2564" max="2564"/>
    <col width="13.81640625" bestFit="1" customWidth="1" style="581" min="2565" max="2565"/>
    <col width="20.54296875" customWidth="1" style="581" min="2566" max="2566"/>
    <col width="19.36328125" customWidth="1" style="581" min="2567" max="2567"/>
    <col width="14.1796875" customWidth="1" style="581" min="2568" max="2568"/>
    <col width="14.08984375" customWidth="1" style="581" min="2569" max="2569"/>
    <col width="3.36328125" customWidth="1" style="581" min="2813" max="2813"/>
    <col width="10.90625" customWidth="1" style="581" min="2815" max="2815"/>
    <col width="13.26953125" customWidth="1" style="581" min="2816" max="2816"/>
    <col width="17.26953125" customWidth="1" style="581" min="2817" max="2817"/>
    <col width="16.54296875" customWidth="1" style="581" min="2818" max="2819"/>
    <col width="14.6328125" customWidth="1" style="581" min="2820" max="2820"/>
    <col width="13.81640625" bestFit="1" customWidth="1" style="581" min="2821" max="2821"/>
    <col width="20.54296875" customWidth="1" style="581" min="2822" max="2822"/>
    <col width="19.36328125" customWidth="1" style="581" min="2823" max="2823"/>
    <col width="14.1796875" customWidth="1" style="581" min="2824" max="2824"/>
    <col width="14.08984375" customWidth="1" style="581" min="2825" max="2825"/>
    <col width="3.36328125" customWidth="1" style="581" min="3069" max="3069"/>
    <col width="10.90625" customWidth="1" style="581" min="3071" max="3071"/>
    <col width="13.26953125" customWidth="1" style="581" min="3072" max="3072"/>
    <col width="17.26953125" customWidth="1" style="581" min="3073" max="3073"/>
    <col width="16.54296875" customWidth="1" style="581" min="3074" max="3075"/>
    <col width="14.6328125" customWidth="1" style="581" min="3076" max="3076"/>
    <col width="13.81640625" bestFit="1" customWidth="1" style="581" min="3077" max="3077"/>
    <col width="20.54296875" customWidth="1" style="581" min="3078" max="3078"/>
    <col width="19.36328125" customWidth="1" style="581" min="3079" max="3079"/>
    <col width="14.1796875" customWidth="1" style="581" min="3080" max="3080"/>
    <col width="14.08984375" customWidth="1" style="581" min="3081" max="3081"/>
    <col width="3.36328125" customWidth="1" style="581" min="3325" max="3325"/>
    <col width="10.90625" customWidth="1" style="581" min="3327" max="3327"/>
    <col width="13.26953125" customWidth="1" style="581" min="3328" max="3328"/>
    <col width="17.26953125" customWidth="1" style="581" min="3329" max="3329"/>
    <col width="16.54296875" customWidth="1" style="581" min="3330" max="3331"/>
    <col width="14.6328125" customWidth="1" style="581" min="3332" max="3332"/>
    <col width="13.81640625" bestFit="1" customWidth="1" style="581" min="3333" max="3333"/>
    <col width="20.54296875" customWidth="1" style="581" min="3334" max="3334"/>
    <col width="19.36328125" customWidth="1" style="581" min="3335" max="3335"/>
    <col width="14.1796875" customWidth="1" style="581" min="3336" max="3336"/>
    <col width="14.08984375" customWidth="1" style="581" min="3337" max="3337"/>
    <col width="3.36328125" customWidth="1" style="581" min="3581" max="3581"/>
    <col width="10.90625" customWidth="1" style="581" min="3583" max="3583"/>
    <col width="13.26953125" customWidth="1" style="581" min="3584" max="3584"/>
    <col width="17.26953125" customWidth="1" style="581" min="3585" max="3585"/>
    <col width="16.54296875" customWidth="1" style="581" min="3586" max="3587"/>
    <col width="14.6328125" customWidth="1" style="581" min="3588" max="3588"/>
    <col width="13.81640625" bestFit="1" customWidth="1" style="581" min="3589" max="3589"/>
    <col width="20.54296875" customWidth="1" style="581" min="3590" max="3590"/>
    <col width="19.36328125" customWidth="1" style="581" min="3591" max="3591"/>
    <col width="14.1796875" customWidth="1" style="581" min="3592" max="3592"/>
    <col width="14.08984375" customWidth="1" style="581" min="3593" max="3593"/>
    <col width="3.36328125" customWidth="1" style="581" min="3837" max="3837"/>
    <col width="10.90625" customWidth="1" style="581" min="3839" max="3839"/>
    <col width="13.26953125" customWidth="1" style="581" min="3840" max="3840"/>
    <col width="17.26953125" customWidth="1" style="581" min="3841" max="3841"/>
    <col width="16.54296875" customWidth="1" style="581" min="3842" max="3843"/>
    <col width="14.6328125" customWidth="1" style="581" min="3844" max="3844"/>
    <col width="13.81640625" bestFit="1" customWidth="1" style="581" min="3845" max="3845"/>
    <col width="20.54296875" customWidth="1" style="581" min="3846" max="3846"/>
    <col width="19.36328125" customWidth="1" style="581" min="3847" max="3847"/>
    <col width="14.1796875" customWidth="1" style="581" min="3848" max="3848"/>
    <col width="14.08984375" customWidth="1" style="581" min="3849" max="3849"/>
    <col width="3.36328125" customWidth="1" style="581" min="4093" max="4093"/>
    <col width="10.90625" customWidth="1" style="581" min="4095" max="4095"/>
    <col width="13.26953125" customWidth="1" style="581" min="4096" max="4096"/>
    <col width="17.26953125" customWidth="1" style="581" min="4097" max="4097"/>
    <col width="16.54296875" customWidth="1" style="581" min="4098" max="4099"/>
    <col width="14.6328125" customWidth="1" style="581" min="4100" max="4100"/>
    <col width="13.81640625" bestFit="1" customWidth="1" style="581" min="4101" max="4101"/>
    <col width="20.54296875" customWidth="1" style="581" min="4102" max="4102"/>
    <col width="19.36328125" customWidth="1" style="581" min="4103" max="4103"/>
    <col width="14.1796875" customWidth="1" style="581" min="4104" max="4104"/>
    <col width="14.08984375" customWidth="1" style="581" min="4105" max="4105"/>
    <col width="3.36328125" customWidth="1" style="581" min="4349" max="4349"/>
    <col width="10.90625" customWidth="1" style="581" min="4351" max="4351"/>
    <col width="13.26953125" customWidth="1" style="581" min="4352" max="4352"/>
    <col width="17.26953125" customWidth="1" style="581" min="4353" max="4353"/>
    <col width="16.54296875" customWidth="1" style="581" min="4354" max="4355"/>
    <col width="14.6328125" customWidth="1" style="581" min="4356" max="4356"/>
    <col width="13.81640625" bestFit="1" customWidth="1" style="581" min="4357" max="4357"/>
    <col width="20.54296875" customWidth="1" style="581" min="4358" max="4358"/>
    <col width="19.36328125" customWidth="1" style="581" min="4359" max="4359"/>
    <col width="14.1796875" customWidth="1" style="581" min="4360" max="4360"/>
    <col width="14.08984375" customWidth="1" style="581" min="4361" max="4361"/>
    <col width="3.36328125" customWidth="1" style="581" min="4605" max="4605"/>
    <col width="10.90625" customWidth="1" style="581" min="4607" max="4607"/>
    <col width="13.26953125" customWidth="1" style="581" min="4608" max="4608"/>
    <col width="17.26953125" customWidth="1" style="581" min="4609" max="4609"/>
    <col width="16.54296875" customWidth="1" style="581" min="4610" max="4611"/>
    <col width="14.6328125" customWidth="1" style="581" min="4612" max="4612"/>
    <col width="13.81640625" bestFit="1" customWidth="1" style="581" min="4613" max="4613"/>
    <col width="20.54296875" customWidth="1" style="581" min="4614" max="4614"/>
    <col width="19.36328125" customWidth="1" style="581" min="4615" max="4615"/>
    <col width="14.1796875" customWidth="1" style="581" min="4616" max="4616"/>
    <col width="14.08984375" customWidth="1" style="581" min="4617" max="4617"/>
    <col width="3.36328125" customWidth="1" style="581" min="4861" max="4861"/>
    <col width="10.90625" customWidth="1" style="581" min="4863" max="4863"/>
    <col width="13.26953125" customWidth="1" style="581" min="4864" max="4864"/>
    <col width="17.26953125" customWidth="1" style="581" min="4865" max="4865"/>
    <col width="16.54296875" customWidth="1" style="581" min="4866" max="4867"/>
    <col width="14.6328125" customWidth="1" style="581" min="4868" max="4868"/>
    <col width="13.81640625" bestFit="1" customWidth="1" style="581" min="4869" max="4869"/>
    <col width="20.54296875" customWidth="1" style="581" min="4870" max="4870"/>
    <col width="19.36328125" customWidth="1" style="581" min="4871" max="4871"/>
    <col width="14.1796875" customWidth="1" style="581" min="4872" max="4872"/>
    <col width="14.08984375" customWidth="1" style="581" min="4873" max="4873"/>
    <col width="3.36328125" customWidth="1" style="581" min="5117" max="5117"/>
    <col width="10.90625" customWidth="1" style="581" min="5119" max="5119"/>
    <col width="13.26953125" customWidth="1" style="581" min="5120" max="5120"/>
    <col width="17.26953125" customWidth="1" style="581" min="5121" max="5121"/>
    <col width="16.54296875" customWidth="1" style="581" min="5122" max="5123"/>
    <col width="14.6328125" customWidth="1" style="581" min="5124" max="5124"/>
    <col width="13.81640625" bestFit="1" customWidth="1" style="581" min="5125" max="5125"/>
    <col width="20.54296875" customWidth="1" style="581" min="5126" max="5126"/>
    <col width="19.36328125" customWidth="1" style="581" min="5127" max="5127"/>
    <col width="14.1796875" customWidth="1" style="581" min="5128" max="5128"/>
    <col width="14.08984375" customWidth="1" style="581" min="5129" max="5129"/>
    <col width="3.36328125" customWidth="1" style="581" min="5373" max="5373"/>
    <col width="10.90625" customWidth="1" style="581" min="5375" max="5375"/>
    <col width="13.26953125" customWidth="1" style="581" min="5376" max="5376"/>
    <col width="17.26953125" customWidth="1" style="581" min="5377" max="5377"/>
    <col width="16.54296875" customWidth="1" style="581" min="5378" max="5379"/>
    <col width="14.6328125" customWidth="1" style="581" min="5380" max="5380"/>
    <col width="13.81640625" bestFit="1" customWidth="1" style="581" min="5381" max="5381"/>
    <col width="20.54296875" customWidth="1" style="581" min="5382" max="5382"/>
    <col width="19.36328125" customWidth="1" style="581" min="5383" max="5383"/>
    <col width="14.1796875" customWidth="1" style="581" min="5384" max="5384"/>
    <col width="14.08984375" customWidth="1" style="581" min="5385" max="5385"/>
    <col width="3.36328125" customWidth="1" style="581" min="5629" max="5629"/>
    <col width="10.90625" customWidth="1" style="581" min="5631" max="5631"/>
    <col width="13.26953125" customWidth="1" style="581" min="5632" max="5632"/>
    <col width="17.26953125" customWidth="1" style="581" min="5633" max="5633"/>
    <col width="16.54296875" customWidth="1" style="581" min="5634" max="5635"/>
    <col width="14.6328125" customWidth="1" style="581" min="5636" max="5636"/>
    <col width="13.81640625" bestFit="1" customWidth="1" style="581" min="5637" max="5637"/>
    <col width="20.54296875" customWidth="1" style="581" min="5638" max="5638"/>
    <col width="19.36328125" customWidth="1" style="581" min="5639" max="5639"/>
    <col width="14.1796875" customWidth="1" style="581" min="5640" max="5640"/>
    <col width="14.08984375" customWidth="1" style="581" min="5641" max="5641"/>
    <col width="3.36328125" customWidth="1" style="581" min="5885" max="5885"/>
    <col width="10.90625" customWidth="1" style="581" min="5887" max="5887"/>
    <col width="13.26953125" customWidth="1" style="581" min="5888" max="5888"/>
    <col width="17.26953125" customWidth="1" style="581" min="5889" max="5889"/>
    <col width="16.54296875" customWidth="1" style="581" min="5890" max="5891"/>
    <col width="14.6328125" customWidth="1" style="581" min="5892" max="5892"/>
    <col width="13.81640625" bestFit="1" customWidth="1" style="581" min="5893" max="5893"/>
    <col width="20.54296875" customWidth="1" style="581" min="5894" max="5894"/>
    <col width="19.36328125" customWidth="1" style="581" min="5895" max="5895"/>
    <col width="14.1796875" customWidth="1" style="581" min="5896" max="5896"/>
    <col width="14.08984375" customWidth="1" style="581" min="5897" max="5897"/>
    <col width="3.36328125" customWidth="1" style="581" min="6141" max="6141"/>
    <col width="10.90625" customWidth="1" style="581" min="6143" max="6143"/>
    <col width="13.26953125" customWidth="1" style="581" min="6144" max="6144"/>
    <col width="17.26953125" customWidth="1" style="581" min="6145" max="6145"/>
    <col width="16.54296875" customWidth="1" style="581" min="6146" max="6147"/>
    <col width="14.6328125" customWidth="1" style="581" min="6148" max="6148"/>
    <col width="13.81640625" bestFit="1" customWidth="1" style="581" min="6149" max="6149"/>
    <col width="20.54296875" customWidth="1" style="581" min="6150" max="6150"/>
    <col width="19.36328125" customWidth="1" style="581" min="6151" max="6151"/>
    <col width="14.1796875" customWidth="1" style="581" min="6152" max="6152"/>
    <col width="14.08984375" customWidth="1" style="581" min="6153" max="6153"/>
    <col width="3.36328125" customWidth="1" style="581" min="6397" max="6397"/>
    <col width="10.90625" customWidth="1" style="581" min="6399" max="6399"/>
    <col width="13.26953125" customWidth="1" style="581" min="6400" max="6400"/>
    <col width="17.26953125" customWidth="1" style="581" min="6401" max="6401"/>
    <col width="16.54296875" customWidth="1" style="581" min="6402" max="6403"/>
    <col width="14.6328125" customWidth="1" style="581" min="6404" max="6404"/>
    <col width="13.81640625" bestFit="1" customWidth="1" style="581" min="6405" max="6405"/>
    <col width="20.54296875" customWidth="1" style="581" min="6406" max="6406"/>
    <col width="19.36328125" customWidth="1" style="581" min="6407" max="6407"/>
    <col width="14.1796875" customWidth="1" style="581" min="6408" max="6408"/>
    <col width="14.08984375" customWidth="1" style="581" min="6409" max="6409"/>
    <col width="3.36328125" customWidth="1" style="581" min="6653" max="6653"/>
    <col width="10.90625" customWidth="1" style="581" min="6655" max="6655"/>
    <col width="13.26953125" customWidth="1" style="581" min="6656" max="6656"/>
    <col width="17.26953125" customWidth="1" style="581" min="6657" max="6657"/>
    <col width="16.54296875" customWidth="1" style="581" min="6658" max="6659"/>
    <col width="14.6328125" customWidth="1" style="581" min="6660" max="6660"/>
    <col width="13.81640625" bestFit="1" customWidth="1" style="581" min="6661" max="6661"/>
    <col width="20.54296875" customWidth="1" style="581" min="6662" max="6662"/>
    <col width="19.36328125" customWidth="1" style="581" min="6663" max="6663"/>
    <col width="14.1796875" customWidth="1" style="581" min="6664" max="6664"/>
    <col width="14.08984375" customWidth="1" style="581" min="6665" max="6665"/>
    <col width="3.36328125" customWidth="1" style="581" min="6909" max="6909"/>
    <col width="10.90625" customWidth="1" style="581" min="6911" max="6911"/>
    <col width="13.26953125" customWidth="1" style="581" min="6912" max="6912"/>
    <col width="17.26953125" customWidth="1" style="581" min="6913" max="6913"/>
    <col width="16.54296875" customWidth="1" style="581" min="6914" max="6915"/>
    <col width="14.6328125" customWidth="1" style="581" min="6916" max="6916"/>
    <col width="13.81640625" bestFit="1" customWidth="1" style="581" min="6917" max="6917"/>
    <col width="20.54296875" customWidth="1" style="581" min="6918" max="6918"/>
    <col width="19.36328125" customWidth="1" style="581" min="6919" max="6919"/>
    <col width="14.1796875" customWidth="1" style="581" min="6920" max="6920"/>
    <col width="14.08984375" customWidth="1" style="581" min="6921" max="6921"/>
    <col width="3.36328125" customWidth="1" style="581" min="7165" max="7165"/>
    <col width="10.90625" customWidth="1" style="581" min="7167" max="7167"/>
    <col width="13.26953125" customWidth="1" style="581" min="7168" max="7168"/>
    <col width="17.26953125" customWidth="1" style="581" min="7169" max="7169"/>
    <col width="16.54296875" customWidth="1" style="581" min="7170" max="7171"/>
    <col width="14.6328125" customWidth="1" style="581" min="7172" max="7172"/>
    <col width="13.81640625" bestFit="1" customWidth="1" style="581" min="7173" max="7173"/>
    <col width="20.54296875" customWidth="1" style="581" min="7174" max="7174"/>
    <col width="19.36328125" customWidth="1" style="581" min="7175" max="7175"/>
    <col width="14.1796875" customWidth="1" style="581" min="7176" max="7176"/>
    <col width="14.08984375" customWidth="1" style="581" min="7177" max="7177"/>
    <col width="3.36328125" customWidth="1" style="581" min="7421" max="7421"/>
    <col width="10.90625" customWidth="1" style="581" min="7423" max="7423"/>
    <col width="13.26953125" customWidth="1" style="581" min="7424" max="7424"/>
    <col width="17.26953125" customWidth="1" style="581" min="7425" max="7425"/>
    <col width="16.54296875" customWidth="1" style="581" min="7426" max="7427"/>
    <col width="14.6328125" customWidth="1" style="581" min="7428" max="7428"/>
    <col width="13.81640625" bestFit="1" customWidth="1" style="581" min="7429" max="7429"/>
    <col width="20.54296875" customWidth="1" style="581" min="7430" max="7430"/>
    <col width="19.36328125" customWidth="1" style="581" min="7431" max="7431"/>
    <col width="14.1796875" customWidth="1" style="581" min="7432" max="7432"/>
    <col width="14.08984375" customWidth="1" style="581" min="7433" max="7433"/>
    <col width="3.36328125" customWidth="1" style="581" min="7677" max="7677"/>
    <col width="10.90625" customWidth="1" style="581" min="7679" max="7679"/>
    <col width="13.26953125" customWidth="1" style="581" min="7680" max="7680"/>
    <col width="17.26953125" customWidth="1" style="581" min="7681" max="7681"/>
    <col width="16.54296875" customWidth="1" style="581" min="7682" max="7683"/>
    <col width="14.6328125" customWidth="1" style="581" min="7684" max="7684"/>
    <col width="13.81640625" bestFit="1" customWidth="1" style="581" min="7685" max="7685"/>
    <col width="20.54296875" customWidth="1" style="581" min="7686" max="7686"/>
    <col width="19.36328125" customWidth="1" style="581" min="7687" max="7687"/>
    <col width="14.1796875" customWidth="1" style="581" min="7688" max="7688"/>
    <col width="14.08984375" customWidth="1" style="581" min="7689" max="7689"/>
    <col width="3.36328125" customWidth="1" style="581" min="7933" max="7933"/>
    <col width="10.90625" customWidth="1" style="581" min="7935" max="7935"/>
    <col width="13.26953125" customWidth="1" style="581" min="7936" max="7936"/>
    <col width="17.26953125" customWidth="1" style="581" min="7937" max="7937"/>
    <col width="16.54296875" customWidth="1" style="581" min="7938" max="7939"/>
    <col width="14.6328125" customWidth="1" style="581" min="7940" max="7940"/>
    <col width="13.81640625" bestFit="1" customWidth="1" style="581" min="7941" max="7941"/>
    <col width="20.54296875" customWidth="1" style="581" min="7942" max="7942"/>
    <col width="19.36328125" customWidth="1" style="581" min="7943" max="7943"/>
    <col width="14.1796875" customWidth="1" style="581" min="7944" max="7944"/>
    <col width="14.08984375" customWidth="1" style="581" min="7945" max="7945"/>
    <col width="3.36328125" customWidth="1" style="581" min="8189" max="8189"/>
    <col width="10.90625" customWidth="1" style="581" min="8191" max="8191"/>
    <col width="13.26953125" customWidth="1" style="581" min="8192" max="8192"/>
    <col width="17.26953125" customWidth="1" style="581" min="8193" max="8193"/>
    <col width="16.54296875" customWidth="1" style="581" min="8194" max="8195"/>
    <col width="14.6328125" customWidth="1" style="581" min="8196" max="8196"/>
    <col width="13.81640625" bestFit="1" customWidth="1" style="581" min="8197" max="8197"/>
    <col width="20.54296875" customWidth="1" style="581" min="8198" max="8198"/>
    <col width="19.36328125" customWidth="1" style="581" min="8199" max="8199"/>
    <col width="14.1796875" customWidth="1" style="581" min="8200" max="8200"/>
    <col width="14.08984375" customWidth="1" style="581" min="8201" max="8201"/>
    <col width="3.36328125" customWidth="1" style="581" min="8445" max="8445"/>
    <col width="10.90625" customWidth="1" style="581" min="8447" max="8447"/>
    <col width="13.26953125" customWidth="1" style="581" min="8448" max="8448"/>
    <col width="17.26953125" customWidth="1" style="581" min="8449" max="8449"/>
    <col width="16.54296875" customWidth="1" style="581" min="8450" max="8451"/>
    <col width="14.6328125" customWidth="1" style="581" min="8452" max="8452"/>
    <col width="13.81640625" bestFit="1" customWidth="1" style="581" min="8453" max="8453"/>
    <col width="20.54296875" customWidth="1" style="581" min="8454" max="8454"/>
    <col width="19.36328125" customWidth="1" style="581" min="8455" max="8455"/>
    <col width="14.1796875" customWidth="1" style="581" min="8456" max="8456"/>
    <col width="14.08984375" customWidth="1" style="581" min="8457" max="8457"/>
    <col width="3.36328125" customWidth="1" style="581" min="8701" max="8701"/>
    <col width="10.90625" customWidth="1" style="581" min="8703" max="8703"/>
    <col width="13.26953125" customWidth="1" style="581" min="8704" max="8704"/>
    <col width="17.26953125" customWidth="1" style="581" min="8705" max="8705"/>
    <col width="16.54296875" customWidth="1" style="581" min="8706" max="8707"/>
    <col width="14.6328125" customWidth="1" style="581" min="8708" max="8708"/>
    <col width="13.81640625" bestFit="1" customWidth="1" style="581" min="8709" max="8709"/>
    <col width="20.54296875" customWidth="1" style="581" min="8710" max="8710"/>
    <col width="19.36328125" customWidth="1" style="581" min="8711" max="8711"/>
    <col width="14.1796875" customWidth="1" style="581" min="8712" max="8712"/>
    <col width="14.08984375" customWidth="1" style="581" min="8713" max="8713"/>
    <col width="3.36328125" customWidth="1" style="581" min="8957" max="8957"/>
    <col width="10.90625" customWidth="1" style="581" min="8959" max="8959"/>
    <col width="13.26953125" customWidth="1" style="581" min="8960" max="8960"/>
    <col width="17.26953125" customWidth="1" style="581" min="8961" max="8961"/>
    <col width="16.54296875" customWidth="1" style="581" min="8962" max="8963"/>
    <col width="14.6328125" customWidth="1" style="581" min="8964" max="8964"/>
    <col width="13.81640625" bestFit="1" customWidth="1" style="581" min="8965" max="8965"/>
    <col width="20.54296875" customWidth="1" style="581" min="8966" max="8966"/>
    <col width="19.36328125" customWidth="1" style="581" min="8967" max="8967"/>
    <col width="14.1796875" customWidth="1" style="581" min="8968" max="8968"/>
    <col width="14.08984375" customWidth="1" style="581" min="8969" max="8969"/>
    <col width="3.36328125" customWidth="1" style="581" min="9213" max="9213"/>
    <col width="10.90625" customWidth="1" style="581" min="9215" max="9215"/>
    <col width="13.26953125" customWidth="1" style="581" min="9216" max="9216"/>
    <col width="17.26953125" customWidth="1" style="581" min="9217" max="9217"/>
    <col width="16.54296875" customWidth="1" style="581" min="9218" max="9219"/>
    <col width="14.6328125" customWidth="1" style="581" min="9220" max="9220"/>
    <col width="13.81640625" bestFit="1" customWidth="1" style="581" min="9221" max="9221"/>
    <col width="20.54296875" customWidth="1" style="581" min="9222" max="9222"/>
    <col width="19.36328125" customWidth="1" style="581" min="9223" max="9223"/>
    <col width="14.1796875" customWidth="1" style="581" min="9224" max="9224"/>
    <col width="14.08984375" customWidth="1" style="581" min="9225" max="9225"/>
    <col width="3.36328125" customWidth="1" style="581" min="9469" max="9469"/>
    <col width="10.90625" customWidth="1" style="581" min="9471" max="9471"/>
    <col width="13.26953125" customWidth="1" style="581" min="9472" max="9472"/>
    <col width="17.26953125" customWidth="1" style="581" min="9473" max="9473"/>
    <col width="16.54296875" customWidth="1" style="581" min="9474" max="9475"/>
    <col width="14.6328125" customWidth="1" style="581" min="9476" max="9476"/>
    <col width="13.81640625" bestFit="1" customWidth="1" style="581" min="9477" max="9477"/>
    <col width="20.54296875" customWidth="1" style="581" min="9478" max="9478"/>
    <col width="19.36328125" customWidth="1" style="581" min="9479" max="9479"/>
    <col width="14.1796875" customWidth="1" style="581" min="9480" max="9480"/>
    <col width="14.08984375" customWidth="1" style="581" min="9481" max="9481"/>
    <col width="3.36328125" customWidth="1" style="581" min="9725" max="9725"/>
    <col width="10.90625" customWidth="1" style="581" min="9727" max="9727"/>
    <col width="13.26953125" customWidth="1" style="581" min="9728" max="9728"/>
    <col width="17.26953125" customWidth="1" style="581" min="9729" max="9729"/>
    <col width="16.54296875" customWidth="1" style="581" min="9730" max="9731"/>
    <col width="14.6328125" customWidth="1" style="581" min="9732" max="9732"/>
    <col width="13.81640625" bestFit="1" customWidth="1" style="581" min="9733" max="9733"/>
    <col width="20.54296875" customWidth="1" style="581" min="9734" max="9734"/>
    <col width="19.36328125" customWidth="1" style="581" min="9735" max="9735"/>
    <col width="14.1796875" customWidth="1" style="581" min="9736" max="9736"/>
    <col width="14.08984375" customWidth="1" style="581" min="9737" max="9737"/>
    <col width="3.36328125" customWidth="1" style="581" min="9981" max="9981"/>
    <col width="10.90625" customWidth="1" style="581" min="9983" max="9983"/>
    <col width="13.26953125" customWidth="1" style="581" min="9984" max="9984"/>
    <col width="17.26953125" customWidth="1" style="581" min="9985" max="9985"/>
    <col width="16.54296875" customWidth="1" style="581" min="9986" max="9987"/>
    <col width="14.6328125" customWidth="1" style="581" min="9988" max="9988"/>
    <col width="13.81640625" bestFit="1" customWidth="1" style="581" min="9989" max="9989"/>
    <col width="20.54296875" customWidth="1" style="581" min="9990" max="9990"/>
    <col width="19.36328125" customWidth="1" style="581" min="9991" max="9991"/>
    <col width="14.1796875" customWidth="1" style="581" min="9992" max="9992"/>
    <col width="14.08984375" customWidth="1" style="581" min="9993" max="9993"/>
    <col width="3.36328125" customWidth="1" style="581" min="10237" max="10237"/>
    <col width="10.90625" customWidth="1" style="581" min="10239" max="10239"/>
    <col width="13.26953125" customWidth="1" style="581" min="10240" max="10240"/>
    <col width="17.26953125" customWidth="1" style="581" min="10241" max="10241"/>
    <col width="16.54296875" customWidth="1" style="581" min="10242" max="10243"/>
    <col width="14.6328125" customWidth="1" style="581" min="10244" max="10244"/>
    <col width="13.81640625" bestFit="1" customWidth="1" style="581" min="10245" max="10245"/>
    <col width="20.54296875" customWidth="1" style="581" min="10246" max="10246"/>
    <col width="19.36328125" customWidth="1" style="581" min="10247" max="10247"/>
    <col width="14.1796875" customWidth="1" style="581" min="10248" max="10248"/>
    <col width="14.08984375" customWidth="1" style="581" min="10249" max="10249"/>
    <col width="3.36328125" customWidth="1" style="581" min="10493" max="10493"/>
    <col width="10.90625" customWidth="1" style="581" min="10495" max="10495"/>
    <col width="13.26953125" customWidth="1" style="581" min="10496" max="10496"/>
    <col width="17.26953125" customWidth="1" style="581" min="10497" max="10497"/>
    <col width="16.54296875" customWidth="1" style="581" min="10498" max="10499"/>
    <col width="14.6328125" customWidth="1" style="581" min="10500" max="10500"/>
    <col width="13.81640625" bestFit="1" customWidth="1" style="581" min="10501" max="10501"/>
    <col width="20.54296875" customWidth="1" style="581" min="10502" max="10502"/>
    <col width="19.36328125" customWidth="1" style="581" min="10503" max="10503"/>
    <col width="14.1796875" customWidth="1" style="581" min="10504" max="10504"/>
    <col width="14.08984375" customWidth="1" style="581" min="10505" max="10505"/>
    <col width="3.36328125" customWidth="1" style="581" min="10749" max="10749"/>
    <col width="10.90625" customWidth="1" style="581" min="10751" max="10751"/>
    <col width="13.26953125" customWidth="1" style="581" min="10752" max="10752"/>
    <col width="17.26953125" customWidth="1" style="581" min="10753" max="10753"/>
    <col width="16.54296875" customWidth="1" style="581" min="10754" max="10755"/>
    <col width="14.6328125" customWidth="1" style="581" min="10756" max="10756"/>
    <col width="13.81640625" bestFit="1" customWidth="1" style="581" min="10757" max="10757"/>
    <col width="20.54296875" customWidth="1" style="581" min="10758" max="10758"/>
    <col width="19.36328125" customWidth="1" style="581" min="10759" max="10759"/>
    <col width="14.1796875" customWidth="1" style="581" min="10760" max="10760"/>
    <col width="14.08984375" customWidth="1" style="581" min="10761" max="10761"/>
    <col width="3.36328125" customWidth="1" style="581" min="11005" max="11005"/>
    <col width="10.90625" customWidth="1" style="581" min="11007" max="11007"/>
    <col width="13.26953125" customWidth="1" style="581" min="11008" max="11008"/>
    <col width="17.26953125" customWidth="1" style="581" min="11009" max="11009"/>
    <col width="16.54296875" customWidth="1" style="581" min="11010" max="11011"/>
    <col width="14.6328125" customWidth="1" style="581" min="11012" max="11012"/>
    <col width="13.81640625" bestFit="1" customWidth="1" style="581" min="11013" max="11013"/>
    <col width="20.54296875" customWidth="1" style="581" min="11014" max="11014"/>
    <col width="19.36328125" customWidth="1" style="581" min="11015" max="11015"/>
    <col width="14.1796875" customWidth="1" style="581" min="11016" max="11016"/>
    <col width="14.08984375" customWidth="1" style="581" min="11017" max="11017"/>
    <col width="3.36328125" customWidth="1" style="581" min="11261" max="11261"/>
    <col width="10.90625" customWidth="1" style="581" min="11263" max="11263"/>
    <col width="13.26953125" customWidth="1" style="581" min="11264" max="11264"/>
    <col width="17.26953125" customWidth="1" style="581" min="11265" max="11265"/>
    <col width="16.54296875" customWidth="1" style="581" min="11266" max="11267"/>
    <col width="14.6328125" customWidth="1" style="581" min="11268" max="11268"/>
    <col width="13.81640625" bestFit="1" customWidth="1" style="581" min="11269" max="11269"/>
    <col width="20.54296875" customWidth="1" style="581" min="11270" max="11270"/>
    <col width="19.36328125" customWidth="1" style="581" min="11271" max="11271"/>
    <col width="14.1796875" customWidth="1" style="581" min="11272" max="11272"/>
    <col width="14.08984375" customWidth="1" style="581" min="11273" max="11273"/>
    <col width="3.36328125" customWidth="1" style="581" min="11517" max="11517"/>
    <col width="10.90625" customWidth="1" style="581" min="11519" max="11519"/>
    <col width="13.26953125" customWidth="1" style="581" min="11520" max="11520"/>
    <col width="17.26953125" customWidth="1" style="581" min="11521" max="11521"/>
    <col width="16.54296875" customWidth="1" style="581" min="11522" max="11523"/>
    <col width="14.6328125" customWidth="1" style="581" min="11524" max="11524"/>
    <col width="13.81640625" bestFit="1" customWidth="1" style="581" min="11525" max="11525"/>
    <col width="20.54296875" customWidth="1" style="581" min="11526" max="11526"/>
    <col width="19.36328125" customWidth="1" style="581" min="11527" max="11527"/>
    <col width="14.1796875" customWidth="1" style="581" min="11528" max="11528"/>
    <col width="14.08984375" customWidth="1" style="581" min="11529" max="11529"/>
    <col width="3.36328125" customWidth="1" style="581" min="11773" max="11773"/>
    <col width="10.90625" customWidth="1" style="581" min="11775" max="11775"/>
    <col width="13.26953125" customWidth="1" style="581" min="11776" max="11776"/>
    <col width="17.26953125" customWidth="1" style="581" min="11777" max="11777"/>
    <col width="16.54296875" customWidth="1" style="581" min="11778" max="11779"/>
    <col width="14.6328125" customWidth="1" style="581" min="11780" max="11780"/>
    <col width="13.81640625" bestFit="1" customWidth="1" style="581" min="11781" max="11781"/>
    <col width="20.54296875" customWidth="1" style="581" min="11782" max="11782"/>
    <col width="19.36328125" customWidth="1" style="581" min="11783" max="11783"/>
    <col width="14.1796875" customWidth="1" style="581" min="11784" max="11784"/>
    <col width="14.08984375" customWidth="1" style="581" min="11785" max="11785"/>
    <col width="3.36328125" customWidth="1" style="581" min="12029" max="12029"/>
    <col width="10.90625" customWidth="1" style="581" min="12031" max="12031"/>
    <col width="13.26953125" customWidth="1" style="581" min="12032" max="12032"/>
    <col width="17.26953125" customWidth="1" style="581" min="12033" max="12033"/>
    <col width="16.54296875" customWidth="1" style="581" min="12034" max="12035"/>
    <col width="14.6328125" customWidth="1" style="581" min="12036" max="12036"/>
    <col width="13.81640625" bestFit="1" customWidth="1" style="581" min="12037" max="12037"/>
    <col width="20.54296875" customWidth="1" style="581" min="12038" max="12038"/>
    <col width="19.36328125" customWidth="1" style="581" min="12039" max="12039"/>
    <col width="14.1796875" customWidth="1" style="581" min="12040" max="12040"/>
    <col width="14.08984375" customWidth="1" style="581" min="12041" max="12041"/>
    <col width="3.36328125" customWidth="1" style="581" min="12285" max="12285"/>
    <col width="10.90625" customWidth="1" style="581" min="12287" max="12287"/>
    <col width="13.26953125" customWidth="1" style="581" min="12288" max="12288"/>
    <col width="17.26953125" customWidth="1" style="581" min="12289" max="12289"/>
    <col width="16.54296875" customWidth="1" style="581" min="12290" max="12291"/>
    <col width="14.6328125" customWidth="1" style="581" min="12292" max="12292"/>
    <col width="13.81640625" bestFit="1" customWidth="1" style="581" min="12293" max="12293"/>
    <col width="20.54296875" customWidth="1" style="581" min="12294" max="12294"/>
    <col width="19.36328125" customWidth="1" style="581" min="12295" max="12295"/>
    <col width="14.1796875" customWidth="1" style="581" min="12296" max="12296"/>
    <col width="14.08984375" customWidth="1" style="581" min="12297" max="12297"/>
    <col width="3.36328125" customWidth="1" style="581" min="12541" max="12541"/>
    <col width="10.90625" customWidth="1" style="581" min="12543" max="12543"/>
    <col width="13.26953125" customWidth="1" style="581" min="12544" max="12544"/>
    <col width="17.26953125" customWidth="1" style="581" min="12545" max="12545"/>
    <col width="16.54296875" customWidth="1" style="581" min="12546" max="12547"/>
    <col width="14.6328125" customWidth="1" style="581" min="12548" max="12548"/>
    <col width="13.81640625" bestFit="1" customWidth="1" style="581" min="12549" max="12549"/>
    <col width="20.54296875" customWidth="1" style="581" min="12550" max="12550"/>
    <col width="19.36328125" customWidth="1" style="581" min="12551" max="12551"/>
    <col width="14.1796875" customWidth="1" style="581" min="12552" max="12552"/>
    <col width="14.08984375" customWidth="1" style="581" min="12553" max="12553"/>
    <col width="3.36328125" customWidth="1" style="581" min="12797" max="12797"/>
    <col width="10.90625" customWidth="1" style="581" min="12799" max="12799"/>
    <col width="13.26953125" customWidth="1" style="581" min="12800" max="12800"/>
    <col width="17.26953125" customWidth="1" style="581" min="12801" max="12801"/>
    <col width="16.54296875" customWidth="1" style="581" min="12802" max="12803"/>
    <col width="14.6328125" customWidth="1" style="581" min="12804" max="12804"/>
    <col width="13.81640625" bestFit="1" customWidth="1" style="581" min="12805" max="12805"/>
    <col width="20.54296875" customWidth="1" style="581" min="12806" max="12806"/>
    <col width="19.36328125" customWidth="1" style="581" min="12807" max="12807"/>
    <col width="14.1796875" customWidth="1" style="581" min="12808" max="12808"/>
    <col width="14.08984375" customWidth="1" style="581" min="12809" max="12809"/>
    <col width="3.36328125" customWidth="1" style="581" min="13053" max="13053"/>
    <col width="10.90625" customWidth="1" style="581" min="13055" max="13055"/>
    <col width="13.26953125" customWidth="1" style="581" min="13056" max="13056"/>
    <col width="17.26953125" customWidth="1" style="581" min="13057" max="13057"/>
    <col width="16.54296875" customWidth="1" style="581" min="13058" max="13059"/>
    <col width="14.6328125" customWidth="1" style="581" min="13060" max="13060"/>
    <col width="13.81640625" bestFit="1" customWidth="1" style="581" min="13061" max="13061"/>
    <col width="20.54296875" customWidth="1" style="581" min="13062" max="13062"/>
    <col width="19.36328125" customWidth="1" style="581" min="13063" max="13063"/>
    <col width="14.1796875" customWidth="1" style="581" min="13064" max="13064"/>
    <col width="14.08984375" customWidth="1" style="581" min="13065" max="13065"/>
    <col width="3.36328125" customWidth="1" style="581" min="13309" max="13309"/>
    <col width="10.90625" customWidth="1" style="581" min="13311" max="13311"/>
    <col width="13.26953125" customWidth="1" style="581" min="13312" max="13312"/>
    <col width="17.26953125" customWidth="1" style="581" min="13313" max="13313"/>
    <col width="16.54296875" customWidth="1" style="581" min="13314" max="13315"/>
    <col width="14.6328125" customWidth="1" style="581" min="13316" max="13316"/>
    <col width="13.81640625" bestFit="1" customWidth="1" style="581" min="13317" max="13317"/>
    <col width="20.54296875" customWidth="1" style="581" min="13318" max="13318"/>
    <col width="19.36328125" customWidth="1" style="581" min="13319" max="13319"/>
    <col width="14.1796875" customWidth="1" style="581" min="13320" max="13320"/>
    <col width="14.08984375" customWidth="1" style="581" min="13321" max="13321"/>
    <col width="3.36328125" customWidth="1" style="581" min="13565" max="13565"/>
    <col width="10.90625" customWidth="1" style="581" min="13567" max="13567"/>
    <col width="13.26953125" customWidth="1" style="581" min="13568" max="13568"/>
    <col width="17.26953125" customWidth="1" style="581" min="13569" max="13569"/>
    <col width="16.54296875" customWidth="1" style="581" min="13570" max="13571"/>
    <col width="14.6328125" customWidth="1" style="581" min="13572" max="13572"/>
    <col width="13.81640625" bestFit="1" customWidth="1" style="581" min="13573" max="13573"/>
    <col width="20.54296875" customWidth="1" style="581" min="13574" max="13574"/>
    <col width="19.36328125" customWidth="1" style="581" min="13575" max="13575"/>
    <col width="14.1796875" customWidth="1" style="581" min="13576" max="13576"/>
    <col width="14.08984375" customWidth="1" style="581" min="13577" max="13577"/>
    <col width="3.36328125" customWidth="1" style="581" min="13821" max="13821"/>
    <col width="10.90625" customWidth="1" style="581" min="13823" max="13823"/>
    <col width="13.26953125" customWidth="1" style="581" min="13824" max="13824"/>
    <col width="17.26953125" customWidth="1" style="581" min="13825" max="13825"/>
    <col width="16.54296875" customWidth="1" style="581" min="13826" max="13827"/>
    <col width="14.6328125" customWidth="1" style="581" min="13828" max="13828"/>
    <col width="13.81640625" bestFit="1" customWidth="1" style="581" min="13829" max="13829"/>
    <col width="20.54296875" customWidth="1" style="581" min="13830" max="13830"/>
    <col width="19.36328125" customWidth="1" style="581" min="13831" max="13831"/>
    <col width="14.1796875" customWidth="1" style="581" min="13832" max="13832"/>
    <col width="14.08984375" customWidth="1" style="581" min="13833" max="13833"/>
    <col width="3.36328125" customWidth="1" style="581" min="14077" max="14077"/>
    <col width="10.90625" customWidth="1" style="581" min="14079" max="14079"/>
    <col width="13.26953125" customWidth="1" style="581" min="14080" max="14080"/>
    <col width="17.26953125" customWidth="1" style="581" min="14081" max="14081"/>
    <col width="16.54296875" customWidth="1" style="581" min="14082" max="14083"/>
    <col width="14.6328125" customWidth="1" style="581" min="14084" max="14084"/>
    <col width="13.81640625" bestFit="1" customWidth="1" style="581" min="14085" max="14085"/>
    <col width="20.54296875" customWidth="1" style="581" min="14086" max="14086"/>
    <col width="19.36328125" customWidth="1" style="581" min="14087" max="14087"/>
    <col width="14.1796875" customWidth="1" style="581" min="14088" max="14088"/>
    <col width="14.08984375" customWidth="1" style="581" min="14089" max="14089"/>
    <col width="3.36328125" customWidth="1" style="581" min="14333" max="14333"/>
    <col width="10.90625" customWidth="1" style="581" min="14335" max="14335"/>
    <col width="13.26953125" customWidth="1" style="581" min="14336" max="14336"/>
    <col width="17.26953125" customWidth="1" style="581" min="14337" max="14337"/>
    <col width="16.54296875" customWidth="1" style="581" min="14338" max="14339"/>
    <col width="14.6328125" customWidth="1" style="581" min="14340" max="14340"/>
    <col width="13.81640625" bestFit="1" customWidth="1" style="581" min="14341" max="14341"/>
    <col width="20.54296875" customWidth="1" style="581" min="14342" max="14342"/>
    <col width="19.36328125" customWidth="1" style="581" min="14343" max="14343"/>
    <col width="14.1796875" customWidth="1" style="581" min="14344" max="14344"/>
    <col width="14.08984375" customWidth="1" style="581" min="14345" max="14345"/>
    <col width="3.36328125" customWidth="1" style="581" min="14589" max="14589"/>
    <col width="10.90625" customWidth="1" style="581" min="14591" max="14591"/>
    <col width="13.26953125" customWidth="1" style="581" min="14592" max="14592"/>
    <col width="17.26953125" customWidth="1" style="581" min="14593" max="14593"/>
    <col width="16.54296875" customWidth="1" style="581" min="14594" max="14595"/>
    <col width="14.6328125" customWidth="1" style="581" min="14596" max="14596"/>
    <col width="13.81640625" bestFit="1" customWidth="1" style="581" min="14597" max="14597"/>
    <col width="20.54296875" customWidth="1" style="581" min="14598" max="14598"/>
    <col width="19.36328125" customWidth="1" style="581" min="14599" max="14599"/>
    <col width="14.1796875" customWidth="1" style="581" min="14600" max="14600"/>
    <col width="14.08984375" customWidth="1" style="581" min="14601" max="14601"/>
    <col width="3.36328125" customWidth="1" style="581" min="14845" max="14845"/>
    <col width="10.90625" customWidth="1" style="581" min="14847" max="14847"/>
    <col width="13.26953125" customWidth="1" style="581" min="14848" max="14848"/>
    <col width="17.26953125" customWidth="1" style="581" min="14849" max="14849"/>
    <col width="16.54296875" customWidth="1" style="581" min="14850" max="14851"/>
    <col width="14.6328125" customWidth="1" style="581" min="14852" max="14852"/>
    <col width="13.81640625" bestFit="1" customWidth="1" style="581" min="14853" max="14853"/>
    <col width="20.54296875" customWidth="1" style="581" min="14854" max="14854"/>
    <col width="19.36328125" customWidth="1" style="581" min="14855" max="14855"/>
    <col width="14.1796875" customWidth="1" style="581" min="14856" max="14856"/>
    <col width="14.08984375" customWidth="1" style="581" min="14857" max="14857"/>
    <col width="3.36328125" customWidth="1" style="581" min="15101" max="15101"/>
    <col width="10.90625" customWidth="1" style="581" min="15103" max="15103"/>
    <col width="13.26953125" customWidth="1" style="581" min="15104" max="15104"/>
    <col width="17.26953125" customWidth="1" style="581" min="15105" max="15105"/>
    <col width="16.54296875" customWidth="1" style="581" min="15106" max="15107"/>
    <col width="14.6328125" customWidth="1" style="581" min="15108" max="15108"/>
    <col width="13.81640625" bestFit="1" customWidth="1" style="581" min="15109" max="15109"/>
    <col width="20.54296875" customWidth="1" style="581" min="15110" max="15110"/>
    <col width="19.36328125" customWidth="1" style="581" min="15111" max="15111"/>
    <col width="14.1796875" customWidth="1" style="581" min="15112" max="15112"/>
    <col width="14.08984375" customWidth="1" style="581" min="15113" max="15113"/>
    <col width="3.36328125" customWidth="1" style="581" min="15357" max="15357"/>
    <col width="10.90625" customWidth="1" style="581" min="15359" max="15359"/>
    <col width="13.26953125" customWidth="1" style="581" min="15360" max="15360"/>
    <col width="17.26953125" customWidth="1" style="581" min="15361" max="15361"/>
    <col width="16.54296875" customWidth="1" style="581" min="15362" max="15363"/>
    <col width="14.6328125" customWidth="1" style="581" min="15364" max="15364"/>
    <col width="13.81640625" bestFit="1" customWidth="1" style="581" min="15365" max="15365"/>
    <col width="20.54296875" customWidth="1" style="581" min="15366" max="15366"/>
    <col width="19.36328125" customWidth="1" style="581" min="15367" max="15367"/>
    <col width="14.1796875" customWidth="1" style="581" min="15368" max="15368"/>
    <col width="14.08984375" customWidth="1" style="581" min="15369" max="15369"/>
    <col width="3.36328125" customWidth="1" style="581" min="15613" max="15613"/>
    <col width="10.90625" customWidth="1" style="581" min="15615" max="15615"/>
    <col width="13.26953125" customWidth="1" style="581" min="15616" max="15616"/>
    <col width="17.26953125" customWidth="1" style="581" min="15617" max="15617"/>
    <col width="16.54296875" customWidth="1" style="581" min="15618" max="15619"/>
    <col width="14.6328125" customWidth="1" style="581" min="15620" max="15620"/>
    <col width="13.81640625" bestFit="1" customWidth="1" style="581" min="15621" max="15621"/>
    <col width="20.54296875" customWidth="1" style="581" min="15622" max="15622"/>
    <col width="19.36328125" customWidth="1" style="581" min="15623" max="15623"/>
    <col width="14.1796875" customWidth="1" style="581" min="15624" max="15624"/>
    <col width="14.08984375" customWidth="1" style="581" min="15625" max="15625"/>
    <col width="3.36328125" customWidth="1" style="581" min="15869" max="15869"/>
    <col width="10.90625" customWidth="1" style="581" min="15871" max="15871"/>
    <col width="13.26953125" customWidth="1" style="581" min="15872" max="15872"/>
    <col width="17.26953125" customWidth="1" style="581" min="15873" max="15873"/>
    <col width="16.54296875" customWidth="1" style="581" min="15874" max="15875"/>
    <col width="14.6328125" customWidth="1" style="581" min="15876" max="15876"/>
    <col width="13.81640625" bestFit="1" customWidth="1" style="581" min="15877" max="15877"/>
    <col width="20.54296875" customWidth="1" style="581" min="15878" max="15878"/>
    <col width="19.36328125" customWidth="1" style="581" min="15879" max="15879"/>
    <col width="14.1796875" customWidth="1" style="581" min="15880" max="15880"/>
    <col width="14.08984375" customWidth="1" style="581" min="15881" max="15881"/>
    <col width="3.36328125" customWidth="1" style="581" min="16125" max="16125"/>
    <col width="10.90625" customWidth="1" style="581" min="16127" max="16127"/>
    <col width="13.26953125" customWidth="1" style="581" min="16128" max="16128"/>
    <col width="17.26953125" customWidth="1" style="581" min="16129" max="16129"/>
    <col width="16.54296875" customWidth="1" style="581" min="16130" max="16131"/>
    <col width="14.6328125" customWidth="1" style="581" min="16132" max="16132"/>
    <col width="13.81640625" bestFit="1" customWidth="1" style="581" min="16133" max="16133"/>
    <col width="20.54296875" customWidth="1" style="581" min="16134" max="16134"/>
    <col width="19.36328125" customWidth="1" style="581" min="16135" max="16135"/>
    <col width="14.1796875" customWidth="1" style="581" min="16136" max="16136"/>
    <col width="14.08984375" customWidth="1" style="581" min="16137" max="16137"/>
  </cols>
  <sheetData>
    <row r="1" ht="15" customHeight="1" s="581" thickBot="1">
      <c r="F1" s="785" t="n"/>
    </row>
    <row r="2" ht="15" customHeight="1" s="581" thickBot="1">
      <c r="B2" s="613" t="inlineStr">
        <is>
          <t>Elkanah - Merchant Banking</t>
        </is>
      </c>
      <c r="C2" s="573" t="n"/>
      <c r="D2" s="573" t="n"/>
      <c r="E2" s="574" t="n"/>
      <c r="F2" s="2" t="n"/>
      <c r="G2" s="786" t="n"/>
      <c r="I2" s="787" t="n"/>
      <c r="J2" s="143" t="n"/>
    </row>
    <row r="3" ht="68.5" customHeight="1" s="581" thickBot="1">
      <c r="B3" s="105" t="inlineStr">
        <is>
          <t>S/N</t>
        </is>
      </c>
      <c r="C3" s="397" t="inlineStr">
        <is>
          <t>Biller Type</t>
        </is>
      </c>
      <c r="D3" s="106" t="inlineStr">
        <is>
          <t>Biller</t>
        </is>
      </c>
      <c r="E3" s="398" t="inlineStr">
        <is>
          <t>Total Backend Commission    (as a % of Transaction Amount) TC%</t>
        </is>
      </c>
      <c r="F3" s="398" t="inlineStr">
        <is>
          <t>Comm. Cashback to Merchants (i.e. 25%) CB%</t>
        </is>
      </c>
      <c r="G3" s="399" t="inlineStr">
        <is>
          <t>9PSB Comm (i.e. 69.77%) PB%</t>
        </is>
      </c>
      <c r="H3" s="399" t="inlineStr">
        <is>
          <t>9PSB Income GL</t>
        </is>
      </c>
      <c r="I3" s="399" t="inlineStr">
        <is>
          <t xml:space="preserve"> VAT on 9PSB Comm (i.e. 5.23%) VT%</t>
        </is>
      </c>
      <c r="J3" s="400" t="inlineStr">
        <is>
          <t>VAT GL</t>
        </is>
      </c>
    </row>
    <row r="4" customFormat="1" s="312">
      <c r="B4" s="401" t="n">
        <v>1</v>
      </c>
      <c r="C4" s="612" t="inlineStr">
        <is>
          <t>Other Bills Payment</t>
        </is>
      </c>
      <c r="D4" s="120" t="inlineStr">
        <is>
          <t>Smile</t>
        </is>
      </c>
      <c r="E4" s="389" t="n">
        <v>0.055</v>
      </c>
      <c r="F4" s="389">
        <f>E4*25%</f>
        <v/>
      </c>
      <c r="G4" s="384">
        <f>69.77%*E4</f>
        <v/>
      </c>
      <c r="H4" s="609" t="n">
        <v>40060009</v>
      </c>
      <c r="I4" s="389">
        <f>5.23%*E4</f>
        <v/>
      </c>
      <c r="J4" s="608" t="n">
        <v>20070049</v>
      </c>
    </row>
    <row r="5" customFormat="1" s="312">
      <c r="B5" s="402" t="n">
        <v>2</v>
      </c>
      <c r="C5" s="610" t="n"/>
      <c r="D5" s="123" t="inlineStr">
        <is>
          <t>Spectranet</t>
        </is>
      </c>
      <c r="E5" s="390" t="n">
        <v>0.04</v>
      </c>
      <c r="F5" s="390">
        <f>E5*25%</f>
        <v/>
      </c>
      <c r="G5" s="385">
        <f>69.77%*E5</f>
        <v/>
      </c>
      <c r="H5" s="610" t="n"/>
      <c r="I5" s="390">
        <f>5.23%*E5</f>
        <v/>
      </c>
      <c r="J5" s="599" t="n"/>
    </row>
    <row r="6">
      <c r="B6" s="402" t="n">
        <v>3</v>
      </c>
      <c r="C6" s="610" t="n"/>
      <c r="D6" s="81" t="inlineStr">
        <is>
          <t>PHED (Prepaid/PostPaid)</t>
        </is>
      </c>
      <c r="E6" s="376" t="n">
        <v>0.017</v>
      </c>
      <c r="F6" s="376">
        <f>E6*25%</f>
        <v/>
      </c>
      <c r="G6" s="386">
        <f>69.77%*E6</f>
        <v/>
      </c>
      <c r="H6" s="610" t="n"/>
      <c r="I6" s="376">
        <f>5.23%*E6</f>
        <v/>
      </c>
      <c r="J6" s="599" t="n"/>
    </row>
    <row r="7">
      <c r="B7" s="402" t="n">
        <v>4</v>
      </c>
      <c r="C7" s="610" t="n"/>
      <c r="D7" s="81" t="inlineStr">
        <is>
          <t>Ikeja (Prepaid/PostPaid)</t>
        </is>
      </c>
      <c r="E7" s="376" t="n">
        <v>0.013</v>
      </c>
      <c r="F7" s="376">
        <f>E7*25%</f>
        <v/>
      </c>
      <c r="G7" s="386">
        <f>69.77%*E7</f>
        <v/>
      </c>
      <c r="H7" s="610" t="n"/>
      <c r="I7" s="376">
        <f>5.23%*E7</f>
        <v/>
      </c>
      <c r="J7" s="599" t="n"/>
    </row>
    <row r="8">
      <c r="B8" s="402" t="n">
        <v>5</v>
      </c>
      <c r="C8" s="610" t="n"/>
      <c r="D8" s="81" t="inlineStr">
        <is>
          <t>Ikeja (MD)</t>
        </is>
      </c>
      <c r="E8" s="376" t="n">
        <v>0.003</v>
      </c>
      <c r="F8" s="376">
        <f>E8*25%</f>
        <v/>
      </c>
      <c r="G8" s="386">
        <f>69.77%*E8</f>
        <v/>
      </c>
      <c r="H8" s="610" t="n"/>
      <c r="I8" s="376">
        <f>5.23%*E8</f>
        <v/>
      </c>
      <c r="J8" s="599" t="n"/>
    </row>
    <row r="9">
      <c r="B9" s="402" t="n">
        <v>6</v>
      </c>
      <c r="C9" s="610" t="n"/>
      <c r="D9" s="81" t="inlineStr">
        <is>
          <t>Eko (Prepaid/PostPaid)</t>
        </is>
      </c>
      <c r="E9" s="376" t="n">
        <v>0.017</v>
      </c>
      <c r="F9" s="376">
        <f>E9*25%</f>
        <v/>
      </c>
      <c r="G9" s="386">
        <f>69.77%*E9</f>
        <v/>
      </c>
      <c r="H9" s="610" t="n"/>
      <c r="I9" s="376">
        <f>5.23%*E9</f>
        <v/>
      </c>
      <c r="J9" s="599" t="n"/>
    </row>
    <row r="10">
      <c r="B10" s="402" t="n">
        <v>7</v>
      </c>
      <c r="C10" s="610" t="n"/>
      <c r="D10" s="81" t="inlineStr">
        <is>
          <t>Ibadan (Prepaid/PostPaid)</t>
        </is>
      </c>
      <c r="E10" s="376" t="n">
        <v>0.013</v>
      </c>
      <c r="F10" s="376">
        <f>E10*25%</f>
        <v/>
      </c>
      <c r="G10" s="386">
        <f>69.77%*E10</f>
        <v/>
      </c>
      <c r="H10" s="610" t="n"/>
      <c r="I10" s="376">
        <f>5.23%*E10</f>
        <v/>
      </c>
      <c r="J10" s="599" t="n"/>
    </row>
    <row r="11">
      <c r="B11" s="402" t="n">
        <v>8</v>
      </c>
      <c r="C11" s="610" t="n"/>
      <c r="D11" s="81" t="inlineStr">
        <is>
          <t>Enugu Electric (Prepaid/PostPaid)</t>
        </is>
      </c>
      <c r="E11" s="376" t="n">
        <v>0.018</v>
      </c>
      <c r="F11" s="376">
        <f>E11*25%</f>
        <v/>
      </c>
      <c r="G11" s="386">
        <f>69.77%*E11</f>
        <v/>
      </c>
      <c r="H11" s="610" t="n"/>
      <c r="I11" s="376">
        <f>5.23%*E11</f>
        <v/>
      </c>
      <c r="J11" s="599" t="n"/>
    </row>
    <row r="12">
      <c r="B12" s="402" t="n">
        <v>9</v>
      </c>
      <c r="C12" s="610" t="n"/>
      <c r="D12" s="81" t="inlineStr">
        <is>
          <t>Enugu (MD)</t>
        </is>
      </c>
      <c r="E12" s="376" t="n">
        <v>0.006</v>
      </c>
      <c r="F12" s="376">
        <f>E12*25%</f>
        <v/>
      </c>
      <c r="G12" s="386">
        <f>69.77%*E12</f>
        <v/>
      </c>
      <c r="H12" s="610" t="n"/>
      <c r="I12" s="376">
        <f>5.23%*E12</f>
        <v/>
      </c>
      <c r="J12" s="599" t="n"/>
    </row>
    <row r="13">
      <c r="B13" s="402" t="n">
        <v>10</v>
      </c>
      <c r="C13" s="610" t="n"/>
      <c r="D13" s="81" t="inlineStr">
        <is>
          <t>Aba (Prepaid/PostPaid)</t>
        </is>
      </c>
      <c r="E13" s="376" t="n">
        <v>0.023</v>
      </c>
      <c r="F13" s="376">
        <f>E13*25%</f>
        <v/>
      </c>
      <c r="G13" s="386">
        <f>69.77%*E13</f>
        <v/>
      </c>
      <c r="H13" s="610" t="n"/>
      <c r="I13" s="376">
        <f>5.23%*E13</f>
        <v/>
      </c>
      <c r="J13" s="599" t="n"/>
    </row>
    <row r="14">
      <c r="B14" s="402" t="n">
        <v>11</v>
      </c>
      <c r="C14" s="610" t="n"/>
      <c r="D14" s="81" t="inlineStr">
        <is>
          <t>Aba (MD)</t>
        </is>
      </c>
      <c r="E14" s="376" t="n">
        <v>0.006</v>
      </c>
      <c r="F14" s="376">
        <f>E14*25%</f>
        <v/>
      </c>
      <c r="G14" s="386">
        <f>69.77%*E14</f>
        <v/>
      </c>
      <c r="H14" s="610" t="n"/>
      <c r="I14" s="376">
        <f>5.23%*E14</f>
        <v/>
      </c>
      <c r="J14" s="599" t="n"/>
    </row>
    <row r="15">
      <c r="B15" s="402" t="n">
        <v>12</v>
      </c>
      <c r="C15" s="610" t="n"/>
      <c r="D15" s="81" t="inlineStr">
        <is>
          <t>Benin</t>
        </is>
      </c>
      <c r="E15" s="376" t="n">
        <v>0.022</v>
      </c>
      <c r="F15" s="376">
        <f>E15*25%</f>
        <v/>
      </c>
      <c r="G15" s="386">
        <f>69.77%*E15</f>
        <v/>
      </c>
      <c r="H15" s="610" t="n"/>
      <c r="I15" s="376">
        <f>5.23%*E15</f>
        <v/>
      </c>
      <c r="J15" s="599" t="n"/>
    </row>
    <row r="16">
      <c r="B16" s="402" t="n">
        <v>13</v>
      </c>
      <c r="C16" s="610" t="n"/>
      <c r="D16" s="81" t="inlineStr">
        <is>
          <t>Abuja (Prepaid/PostPaid)</t>
        </is>
      </c>
      <c r="E16" s="376" t="n">
        <v>0.022</v>
      </c>
      <c r="F16" s="376">
        <f>E16*25%</f>
        <v/>
      </c>
      <c r="G16" s="386">
        <f>69.77%*E16</f>
        <v/>
      </c>
      <c r="H16" s="610" t="n"/>
      <c r="I16" s="376">
        <f>5.23%*E16</f>
        <v/>
      </c>
      <c r="J16" s="599" t="n"/>
    </row>
    <row r="17">
      <c r="B17" s="402" t="n">
        <v>14</v>
      </c>
      <c r="C17" s="610" t="n"/>
      <c r="D17" s="81" t="inlineStr">
        <is>
          <t>Kaduna (Prepaid/PostPaid)</t>
        </is>
      </c>
      <c r="E17" s="376" t="n">
        <v>0.017</v>
      </c>
      <c r="F17" s="376">
        <f>E17*25%</f>
        <v/>
      </c>
      <c r="G17" s="386">
        <f>69.77%*E17</f>
        <v/>
      </c>
      <c r="H17" s="610" t="n"/>
      <c r="I17" s="376">
        <f>5.23%*E17</f>
        <v/>
      </c>
      <c r="J17" s="599" t="n"/>
    </row>
    <row r="18">
      <c r="B18" s="402" t="n">
        <v>15</v>
      </c>
      <c r="C18" s="610" t="n"/>
      <c r="D18" s="81" t="inlineStr">
        <is>
          <t>Jos (Prepaid/PostPaid)</t>
        </is>
      </c>
      <c r="E18" s="376" t="n">
        <v>0.015</v>
      </c>
      <c r="F18" s="376">
        <f>E18*25%</f>
        <v/>
      </c>
      <c r="G18" s="386">
        <f>69.77%*E18</f>
        <v/>
      </c>
      <c r="H18" s="610" t="n"/>
      <c r="I18" s="376">
        <f>5.23%*E18</f>
        <v/>
      </c>
      <c r="J18" s="599" t="n"/>
    </row>
    <row r="19">
      <c r="B19" s="402" t="n">
        <v>16</v>
      </c>
      <c r="C19" s="610" t="n"/>
      <c r="D19" s="81" t="inlineStr">
        <is>
          <t>Kano</t>
        </is>
      </c>
      <c r="E19" s="376" t="n">
        <v>0.016</v>
      </c>
      <c r="F19" s="376">
        <f>E19*25%</f>
        <v/>
      </c>
      <c r="G19" s="386">
        <f>69.77%*E19</f>
        <v/>
      </c>
      <c r="H19" s="610" t="n"/>
      <c r="I19" s="376">
        <f>5.23%*E19</f>
        <v/>
      </c>
      <c r="J19" s="599" t="n"/>
    </row>
    <row r="20">
      <c r="B20" s="402" t="n">
        <v>17</v>
      </c>
      <c r="C20" s="610" t="n"/>
      <c r="D20" s="81" t="inlineStr">
        <is>
          <t>Kano (MD)</t>
        </is>
      </c>
      <c r="E20" s="376" t="n">
        <v>0.006</v>
      </c>
      <c r="F20" s="376">
        <f>E20*25%</f>
        <v/>
      </c>
      <c r="G20" s="386">
        <f>69.77%*E20</f>
        <v/>
      </c>
      <c r="H20" s="610" t="n"/>
      <c r="I20" s="376">
        <f>5.23%*E20</f>
        <v/>
      </c>
      <c r="J20" s="599" t="n"/>
    </row>
    <row r="21">
      <c r="B21" s="402" t="n">
        <v>18</v>
      </c>
      <c r="C21" s="610" t="n"/>
      <c r="D21" s="81" t="inlineStr">
        <is>
          <t>Clique SMS</t>
        </is>
      </c>
      <c r="E21" s="376" t="n">
        <v>0.1</v>
      </c>
      <c r="F21" s="376">
        <f>E21*25%</f>
        <v/>
      </c>
      <c r="G21" s="386">
        <f>69.77%*E21</f>
        <v/>
      </c>
      <c r="H21" s="610" t="n"/>
      <c r="I21" s="376">
        <f>5.23%*E21</f>
        <v/>
      </c>
      <c r="J21" s="599" t="n"/>
    </row>
    <row r="22">
      <c r="B22" s="402" t="n">
        <v>19</v>
      </c>
      <c r="C22" s="610" t="n"/>
      <c r="D22" s="81" t="inlineStr">
        <is>
          <t>DSTV</t>
        </is>
      </c>
      <c r="E22" s="376" t="n">
        <v>0.022</v>
      </c>
      <c r="F22" s="376">
        <f>E22*25%</f>
        <v/>
      </c>
      <c r="G22" s="386">
        <f>69.77%*E22</f>
        <v/>
      </c>
      <c r="H22" s="610" t="n"/>
      <c r="I22" s="376">
        <f>5.23%*E22</f>
        <v/>
      </c>
      <c r="J22" s="599" t="n"/>
    </row>
    <row r="23">
      <c r="B23" s="402" t="n">
        <v>20</v>
      </c>
      <c r="C23" s="610" t="n"/>
      <c r="D23" s="81" t="inlineStr">
        <is>
          <t>GoTV</t>
        </is>
      </c>
      <c r="E23" s="376" t="n">
        <v>0.022</v>
      </c>
      <c r="F23" s="376">
        <f>E23*25%</f>
        <v/>
      </c>
      <c r="G23" s="386">
        <f>69.77%*E23</f>
        <v/>
      </c>
      <c r="H23" s="610" t="n"/>
      <c r="I23" s="376">
        <f>5.23%*E23</f>
        <v/>
      </c>
      <c r="J23" s="599" t="n"/>
    </row>
    <row r="24">
      <c r="B24" s="402" t="n">
        <v>21</v>
      </c>
      <c r="C24" s="610" t="n"/>
      <c r="D24" s="81" t="inlineStr">
        <is>
          <t>Startimes</t>
        </is>
      </c>
      <c r="E24" s="376" t="n">
        <v>0.02</v>
      </c>
      <c r="F24" s="376">
        <f>E24*25%</f>
        <v/>
      </c>
      <c r="G24" s="386">
        <f>69.77%*E24</f>
        <v/>
      </c>
      <c r="H24" s="610" t="n"/>
      <c r="I24" s="376">
        <f>5.23%*E24</f>
        <v/>
      </c>
      <c r="J24" s="599" t="n"/>
    </row>
    <row r="25" customFormat="1" s="312">
      <c r="B25" s="402" t="n">
        <v>22</v>
      </c>
      <c r="C25" s="610" t="n"/>
      <c r="D25" s="123" t="inlineStr">
        <is>
          <t>WAEC</t>
        </is>
      </c>
      <c r="E25" s="788" t="n">
        <v>60</v>
      </c>
      <c r="F25" s="788">
        <f>E25*25%</f>
        <v/>
      </c>
      <c r="G25" s="788">
        <f>69.77%*E25</f>
        <v/>
      </c>
      <c r="H25" s="610" t="n"/>
      <c r="I25" s="788">
        <f>5.23%*E25</f>
        <v/>
      </c>
      <c r="J25" s="599" t="n"/>
    </row>
    <row r="26" customFormat="1" s="312">
      <c r="B26" s="402" t="n">
        <v>23</v>
      </c>
      <c r="C26" s="610" t="n"/>
      <c r="D26" s="362" t="inlineStr">
        <is>
          <t>JAMB</t>
        </is>
      </c>
      <c r="E26" s="788" t="n">
        <v>60</v>
      </c>
      <c r="F26" s="788">
        <f>E26*25%</f>
        <v/>
      </c>
      <c r="G26" s="788">
        <f>69.77%*E26</f>
        <v/>
      </c>
      <c r="H26" s="610" t="n"/>
      <c r="I26" s="788">
        <f>5.23%*E26</f>
        <v/>
      </c>
      <c r="J26" s="599" t="n"/>
    </row>
    <row r="27" customFormat="1" s="312">
      <c r="B27" s="402" t="n">
        <v>24</v>
      </c>
      <c r="C27" s="610" t="n"/>
      <c r="D27" s="362" t="inlineStr">
        <is>
          <t>NECO</t>
        </is>
      </c>
      <c r="E27" s="390" t="n">
        <v>0.06</v>
      </c>
      <c r="F27" s="390">
        <f>E27*25%</f>
        <v/>
      </c>
      <c r="G27" s="390">
        <f>69.77%*E27</f>
        <v/>
      </c>
      <c r="H27" s="610" t="n"/>
      <c r="I27" s="390">
        <f>5.23%*E27</f>
        <v/>
      </c>
      <c r="J27" s="599" t="n"/>
    </row>
    <row r="28" customFormat="1" s="312">
      <c r="B28" s="402" t="n">
        <v>25</v>
      </c>
      <c r="C28" s="610" t="n"/>
      <c r="D28" s="362" t="inlineStr">
        <is>
          <t>NABTEB (Result Checker)</t>
        </is>
      </c>
      <c r="E28" s="390" t="n">
        <v>0.05</v>
      </c>
      <c r="F28" s="390">
        <f>E28*25%</f>
        <v/>
      </c>
      <c r="G28" s="390">
        <f>69.77%*E28</f>
        <v/>
      </c>
      <c r="H28" s="610" t="n"/>
      <c r="I28" s="390">
        <f>5.23%*E28</f>
        <v/>
      </c>
      <c r="J28" s="599" t="n"/>
    </row>
    <row r="29" customFormat="1" s="312">
      <c r="B29" s="402" t="n">
        <v>26</v>
      </c>
      <c r="C29" s="610" t="n"/>
      <c r="D29" s="362" t="inlineStr">
        <is>
          <t>NABTEB (O-Level)</t>
        </is>
      </c>
      <c r="E29" s="390" t="n">
        <v>0.01</v>
      </c>
      <c r="F29" s="390">
        <f>E29*25%</f>
        <v/>
      </c>
      <c r="G29" s="390">
        <f>69.77%*E29</f>
        <v/>
      </c>
      <c r="H29" s="610" t="n"/>
      <c r="I29" s="390">
        <f>5.23%*E29</f>
        <v/>
      </c>
      <c r="J29" s="599" t="n"/>
    </row>
    <row r="30" customFormat="1" s="312">
      <c r="B30" s="402" t="n">
        <v>27</v>
      </c>
      <c r="C30" s="610" t="n"/>
      <c r="D30" s="362" t="inlineStr">
        <is>
          <t>NABTEB (A-Level)</t>
        </is>
      </c>
      <c r="E30" s="390" t="n">
        <v>0.01</v>
      </c>
      <c r="F30" s="390">
        <f>E30*25%</f>
        <v/>
      </c>
      <c r="G30" s="390">
        <f>69.77%*E30</f>
        <v/>
      </c>
      <c r="H30" s="610" t="n"/>
      <c r="I30" s="390">
        <f>5.23%*E30</f>
        <v/>
      </c>
      <c r="J30" s="599" t="n"/>
    </row>
    <row r="31" ht="15" customFormat="1" customHeight="1" s="312" thickBot="1">
      <c r="B31" s="404" t="n">
        <v>28</v>
      </c>
      <c r="C31" s="611" t="n"/>
      <c r="D31" s="119" t="inlineStr">
        <is>
          <t>ShowMax</t>
        </is>
      </c>
      <c r="E31" s="377" t="n">
        <v>0.02</v>
      </c>
      <c r="F31" s="377">
        <f>E31*25%</f>
        <v/>
      </c>
      <c r="G31" s="387">
        <f>69.77%*E31</f>
        <v/>
      </c>
      <c r="H31" s="610" t="n"/>
      <c r="I31" s="388">
        <f>5.23%*E31</f>
        <v/>
      </c>
      <c r="J31" s="599" t="n"/>
    </row>
    <row r="32" customFormat="1" s="312">
      <c r="B32" s="405" t="n">
        <v>29</v>
      </c>
      <c r="C32" s="614" t="inlineStr">
        <is>
          <t>Betting &amp; Lottery</t>
        </is>
      </c>
      <c r="D32" s="314" t="inlineStr">
        <is>
          <t>Naira Bet</t>
        </is>
      </c>
      <c r="E32" s="378" t="n">
        <v>0.002</v>
      </c>
      <c r="F32" s="379">
        <f>E32*25%</f>
        <v/>
      </c>
      <c r="G32" s="379">
        <f>69.77%*E32</f>
        <v/>
      </c>
      <c r="H32" s="610" t="n"/>
      <c r="I32" s="389">
        <f>5.23%*E32</f>
        <v/>
      </c>
      <c r="J32" s="599" t="n"/>
    </row>
    <row r="33" customFormat="1" s="312">
      <c r="B33" s="402" t="n">
        <v>30</v>
      </c>
      <c r="C33" s="610" t="n"/>
      <c r="D33" s="278" t="inlineStr">
        <is>
          <t>Super Bet</t>
        </is>
      </c>
      <c r="E33" s="380" t="n">
        <v>0.002</v>
      </c>
      <c r="F33" s="381">
        <f>E33*25%</f>
        <v/>
      </c>
      <c r="G33" s="381">
        <f>69.77%*E33</f>
        <v/>
      </c>
      <c r="H33" s="610" t="n"/>
      <c r="I33" s="390">
        <f>5.23%*E33</f>
        <v/>
      </c>
      <c r="J33" s="599" t="n"/>
    </row>
    <row r="34" customFormat="1" s="312">
      <c r="B34" s="402" t="n">
        <v>31</v>
      </c>
      <c r="C34" s="610" t="n"/>
      <c r="D34" s="278" t="inlineStr">
        <is>
          <t>Cloud Bet</t>
        </is>
      </c>
      <c r="E34" s="380" t="n">
        <v>0.004</v>
      </c>
      <c r="F34" s="381">
        <f>E34*25%</f>
        <v/>
      </c>
      <c r="G34" s="381">
        <f>69.77%*E34</f>
        <v/>
      </c>
      <c r="H34" s="610" t="n"/>
      <c r="I34" s="390">
        <f>5.23%*E34</f>
        <v/>
      </c>
      <c r="J34" s="599" t="n"/>
    </row>
    <row r="35" customFormat="1" s="312">
      <c r="B35" s="402" t="n">
        <v>32</v>
      </c>
      <c r="C35" s="610" t="n"/>
      <c r="D35" s="278" t="inlineStr">
        <is>
          <t>1x Bet</t>
        </is>
      </c>
      <c r="E35" s="380" t="n">
        <v>0.004</v>
      </c>
      <c r="F35" s="381">
        <f>E35*25%</f>
        <v/>
      </c>
      <c r="G35" s="381">
        <f>69.77%*E35</f>
        <v/>
      </c>
      <c r="H35" s="610" t="n"/>
      <c r="I35" s="390">
        <f>5.23%*E35</f>
        <v/>
      </c>
      <c r="J35" s="599" t="n"/>
    </row>
    <row r="36" customFormat="1" s="312">
      <c r="B36" s="402" t="n">
        <v>33</v>
      </c>
      <c r="C36" s="610" t="n"/>
      <c r="D36" s="278" t="inlineStr">
        <is>
          <t>Merry Bet</t>
        </is>
      </c>
      <c r="E36" s="380" t="n">
        <v>0.002</v>
      </c>
      <c r="F36" s="381">
        <f>E36*25%</f>
        <v/>
      </c>
      <c r="G36" s="381">
        <f>69.77%*E36</f>
        <v/>
      </c>
      <c r="H36" s="610" t="n"/>
      <c r="I36" s="390">
        <f>5.23%*E36</f>
        <v/>
      </c>
      <c r="J36" s="599" t="n"/>
    </row>
    <row r="37" customFormat="1" s="312">
      <c r="B37" s="402" t="n">
        <v>34</v>
      </c>
      <c r="C37" s="610" t="n"/>
      <c r="D37" s="278" t="inlineStr">
        <is>
          <t>Betland</t>
        </is>
      </c>
      <c r="E37" s="380" t="n">
        <v>0.004</v>
      </c>
      <c r="F37" s="381">
        <f>E37*25%</f>
        <v/>
      </c>
      <c r="G37" s="381">
        <f>69.77%*E37</f>
        <v/>
      </c>
      <c r="H37" s="610" t="n"/>
      <c r="I37" s="390">
        <f>5.23%*E37</f>
        <v/>
      </c>
      <c r="J37" s="599" t="n"/>
    </row>
    <row r="38" customFormat="1" s="312">
      <c r="B38" s="402" t="n">
        <v>35</v>
      </c>
      <c r="C38" s="610" t="n"/>
      <c r="D38" s="278" t="inlineStr">
        <is>
          <t>BetKing</t>
        </is>
      </c>
      <c r="E38" s="380" t="n">
        <v>0.004</v>
      </c>
      <c r="F38" s="381">
        <f>E38*25%</f>
        <v/>
      </c>
      <c r="G38" s="381">
        <f>69.77%*E38</f>
        <v/>
      </c>
      <c r="H38" s="610" t="n"/>
      <c r="I38" s="390">
        <f>5.23%*E38</f>
        <v/>
      </c>
      <c r="J38" s="599" t="n"/>
    </row>
    <row r="39" customFormat="1" s="312">
      <c r="B39" s="402" t="n">
        <v>36</v>
      </c>
      <c r="C39" s="610" t="n"/>
      <c r="D39" s="278" t="inlineStr">
        <is>
          <t>LiveScore Bet</t>
        </is>
      </c>
      <c r="E39" s="380" t="n">
        <v>0.004</v>
      </c>
      <c r="F39" s="381">
        <f>E39*25%</f>
        <v/>
      </c>
      <c r="G39" s="381">
        <f>69.77%*E39</f>
        <v/>
      </c>
      <c r="H39" s="610" t="n"/>
      <c r="I39" s="390">
        <f>5.23%*E39</f>
        <v/>
      </c>
      <c r="J39" s="599" t="n"/>
    </row>
    <row r="40" customFormat="1" s="312">
      <c r="B40" s="402" t="n">
        <v>37</v>
      </c>
      <c r="C40" s="610" t="n"/>
      <c r="D40" s="278" t="inlineStr">
        <is>
          <t>Betway</t>
        </is>
      </c>
      <c r="E40" s="380" t="n">
        <v>0.004</v>
      </c>
      <c r="F40" s="381">
        <f>E40*25%</f>
        <v/>
      </c>
      <c r="G40" s="381">
        <f>69.77%*E40</f>
        <v/>
      </c>
      <c r="H40" s="610" t="n"/>
      <c r="I40" s="390">
        <f>5.23%*E40</f>
        <v/>
      </c>
      <c r="J40" s="599" t="n"/>
    </row>
    <row r="41" customFormat="1" s="312">
      <c r="B41" s="402" t="n">
        <v>38</v>
      </c>
      <c r="C41" s="610" t="n"/>
      <c r="D41" s="278" t="inlineStr">
        <is>
          <t>Bet9Ja</t>
        </is>
      </c>
      <c r="E41" s="380" t="n">
        <v>0.002</v>
      </c>
      <c r="F41" s="381">
        <f>E41*25%</f>
        <v/>
      </c>
      <c r="G41" s="381">
        <f>69.77%*E41</f>
        <v/>
      </c>
      <c r="H41" s="610" t="n"/>
      <c r="I41" s="390">
        <f>5.23%*E41</f>
        <v/>
      </c>
      <c r="J41" s="599" t="n"/>
    </row>
    <row r="42" customFormat="1" s="312">
      <c r="B42" s="402" t="n">
        <v>39</v>
      </c>
      <c r="C42" s="610" t="n"/>
      <c r="D42" s="278" t="inlineStr">
        <is>
          <t>Naija Bet</t>
        </is>
      </c>
      <c r="E42" s="380" t="n">
        <v>0.002</v>
      </c>
      <c r="F42" s="381">
        <f>E42*25%</f>
        <v/>
      </c>
      <c r="G42" s="381">
        <f>69.77%*E42</f>
        <v/>
      </c>
      <c r="H42" s="610" t="n"/>
      <c r="I42" s="390">
        <f>5.23%*E42</f>
        <v/>
      </c>
      <c r="J42" s="599" t="n"/>
    </row>
    <row r="43" customFormat="1" s="312">
      <c r="B43" s="402" t="n">
        <v>40</v>
      </c>
      <c r="C43" s="610" t="n"/>
      <c r="D43" s="278" t="inlineStr">
        <is>
          <t>Bang Bet</t>
        </is>
      </c>
      <c r="E43" s="380" t="n">
        <v>0.004</v>
      </c>
      <c r="F43" s="381">
        <f>E43*25%</f>
        <v/>
      </c>
      <c r="G43" s="381">
        <f>69.77%*E43</f>
        <v/>
      </c>
      <c r="H43" s="610" t="n"/>
      <c r="I43" s="390">
        <f>5.23%*E43</f>
        <v/>
      </c>
      <c r="J43" s="599" t="n"/>
    </row>
    <row r="44" customFormat="1" s="312">
      <c r="B44" s="402" t="n">
        <v>41</v>
      </c>
      <c r="C44" s="610" t="n"/>
      <c r="D44" s="278" t="inlineStr">
        <is>
          <t>SportyBet</t>
        </is>
      </c>
      <c r="E44" s="380" t="n">
        <v>0.002</v>
      </c>
      <c r="F44" s="381">
        <f>E44*25%</f>
        <v/>
      </c>
      <c r="G44" s="381">
        <f>69.77%*E44</f>
        <v/>
      </c>
      <c r="H44" s="610" t="n"/>
      <c r="I44" s="390">
        <f>5.23%*E44</f>
        <v/>
      </c>
      <c r="J44" s="599" t="n"/>
    </row>
    <row r="45" ht="15" customFormat="1" customHeight="1" s="312" thickBot="1">
      <c r="B45" s="404" t="n">
        <v>42</v>
      </c>
      <c r="C45" s="611" t="n"/>
      <c r="D45" s="313" t="inlineStr">
        <is>
          <t>BetLion</t>
        </is>
      </c>
      <c r="E45" s="382" t="n">
        <v>0.004</v>
      </c>
      <c r="F45" s="383">
        <f>E45*25%</f>
        <v/>
      </c>
      <c r="G45" s="383">
        <f>69.77%*E45</f>
        <v/>
      </c>
      <c r="H45" s="611" t="n"/>
      <c r="I45" s="391">
        <f>5.23%*E45</f>
        <v/>
      </c>
      <c r="J45" s="600" t="n"/>
    </row>
  </sheetData>
  <mergeCells count="5">
    <mergeCell ref="J4:J45"/>
    <mergeCell ref="H4:H45"/>
    <mergeCell ref="C4:C31"/>
    <mergeCell ref="B2:E2"/>
    <mergeCell ref="C32:C45"/>
  </mergeCells>
  <pageMargins left="0.7" right="0.7" top="0.75" bottom="0.75" header="0.3" footer="0.3"/>
</worksheet>
</file>

<file path=xl/worksheets/sheet21.xml><?xml version="1.0" encoding="utf-8"?>
<worksheet xmlns="http://schemas.openxmlformats.org/spreadsheetml/2006/main">
  <sheetPr>
    <tabColor theme="7" tint="-0.249977111117893"/>
    <outlinePr summaryBelow="1" summaryRight="1"/>
    <pageSetUpPr fitToPage="1"/>
  </sheetPr>
  <dimension ref="B1:H13"/>
  <sheetViews>
    <sheetView zoomScaleNormal="100" workbookViewId="0">
      <selection activeCell="E17" sqref="E17"/>
    </sheetView>
  </sheetViews>
  <sheetFormatPr baseColWidth="8" defaultColWidth="12.1796875" defaultRowHeight="13.5"/>
  <cols>
    <col width="2.90625" customWidth="1" style="563" min="1" max="1"/>
    <col width="11.453125" customWidth="1" style="563" min="2" max="2"/>
    <col width="21.36328125" customWidth="1" style="563" min="3" max="3"/>
    <col width="35.90625" customWidth="1" style="563" min="4" max="4"/>
    <col width="45.26953125" customWidth="1" style="563" min="5" max="5"/>
    <col width="64.36328125" bestFit="1" customWidth="1" style="563" min="6" max="6"/>
    <col width="12.1796875" customWidth="1" style="563" min="7" max="8"/>
    <col width="14.36328125" bestFit="1" customWidth="1" style="563" min="9" max="9"/>
    <col width="16.36328125" bestFit="1" customWidth="1" style="563" min="10" max="10"/>
    <col width="12.1796875" customWidth="1" style="563" min="11" max="11"/>
    <col width="12.1796875" customWidth="1" style="563" min="12" max="16384"/>
  </cols>
  <sheetData>
    <row r="1" customFormat="1" s="584">
      <c r="B1" s="615" t="inlineStr">
        <is>
          <t>Scenario : Withdrawal from Agent Commissions Wallet</t>
        </is>
      </c>
      <c r="F1" s="288" t="n"/>
      <c r="H1" s="789" t="n"/>
    </row>
    <row r="2" customFormat="1" s="584">
      <c r="B2" s="615" t="n"/>
      <c r="C2" s="615" t="n"/>
      <c r="D2" s="615" t="n"/>
      <c r="E2" s="615" t="n"/>
      <c r="F2" s="288" t="n"/>
      <c r="H2" s="789" t="n"/>
    </row>
    <row r="3" ht="14" customHeight="1" s="581" thickBot="1">
      <c r="B3" s="616" t="inlineStr">
        <is>
          <t>On the Elkanah's System : At CashBack withdrawal time</t>
        </is>
      </c>
      <c r="C3" s="570" t="n"/>
      <c r="D3" s="570" t="n"/>
      <c r="E3" s="570" t="n"/>
      <c r="F3" s="80" t="n"/>
      <c r="H3" s="661" t="n"/>
    </row>
    <row r="4" ht="14" customFormat="1" customHeight="1" s="2" thickBot="1">
      <c r="B4" s="94" t="inlineStr">
        <is>
          <t>Type</t>
        </is>
      </c>
      <c r="C4" s="95" t="inlineStr">
        <is>
          <t>Account Number</t>
        </is>
      </c>
      <c r="D4" s="95" t="inlineStr">
        <is>
          <t>Name</t>
        </is>
      </c>
      <c r="E4" s="96" t="inlineStr">
        <is>
          <t>Amount</t>
        </is>
      </c>
      <c r="F4" s="96" t="inlineStr">
        <is>
          <t>Value</t>
        </is>
      </c>
    </row>
    <row r="5">
      <c r="B5" s="98" t="inlineStr">
        <is>
          <t>DR</t>
        </is>
      </c>
      <c r="C5" s="108" t="inlineStr">
        <is>
          <t>ICICICIC</t>
        </is>
      </c>
      <c r="D5" s="83" t="inlineStr">
        <is>
          <t>Agent Commission Wallet</t>
        </is>
      </c>
      <c r="E5" s="84" t="inlineStr">
        <is>
          <t>Agent's Withdrawal Amount</t>
        </is>
      </c>
      <c r="F5" s="84" t="inlineStr">
        <is>
          <t>Nxxx</t>
        </is>
      </c>
    </row>
    <row r="6" ht="14" customHeight="1" s="581" thickBot="1">
      <c r="B6" s="87" t="inlineStr">
        <is>
          <t>CR</t>
        </is>
      </c>
      <c r="C6" s="88" t="inlineStr">
        <is>
          <t xml:space="preserve">YYYYYYYYYY  </t>
        </is>
      </c>
      <c r="D6" s="89" t="inlineStr">
        <is>
          <t xml:space="preserve">Agent Main Wallet </t>
        </is>
      </c>
      <c r="E6" s="90" t="inlineStr">
        <is>
          <t>Agent's Withdrawal Amount</t>
        </is>
      </c>
      <c r="F6" s="90" t="inlineStr">
        <is>
          <t>Nxxx</t>
        </is>
      </c>
    </row>
    <row r="7">
      <c r="B7" s="80" t="n"/>
      <c r="E7" s="80" t="n"/>
      <c r="F7" s="80" t="n"/>
      <c r="G7" s="80" t="n"/>
    </row>
    <row r="8" ht="14" customHeight="1" s="581" thickBot="1">
      <c r="B8" s="616" t="inlineStr">
        <is>
          <t>On the Core Banking System : At CashBack withdrawal time</t>
        </is>
      </c>
      <c r="C8" s="570" t="n"/>
      <c r="D8" s="570" t="n"/>
      <c r="E8" s="570" t="n"/>
      <c r="F8" s="80" t="n"/>
      <c r="H8" s="661" t="n"/>
    </row>
    <row r="9" ht="14" customFormat="1" customHeight="1" s="2" thickBot="1">
      <c r="B9" s="105" t="inlineStr">
        <is>
          <t>Type</t>
        </is>
      </c>
      <c r="C9" s="106" t="inlineStr">
        <is>
          <t>Account Number</t>
        </is>
      </c>
      <c r="D9" s="106" t="inlineStr">
        <is>
          <t>Name</t>
        </is>
      </c>
      <c r="E9" s="107" t="inlineStr">
        <is>
          <t>Amount</t>
        </is>
      </c>
      <c r="F9" s="107" t="inlineStr">
        <is>
          <t>Value</t>
        </is>
      </c>
    </row>
    <row r="10">
      <c r="B10" s="98" t="inlineStr">
        <is>
          <t>DR</t>
        </is>
      </c>
      <c r="C10" s="108" t="n">
        <v>20070068</v>
      </c>
      <c r="D10" s="120" t="inlineStr">
        <is>
          <t>Commission_Cashback Payable For Bank9ja Business</t>
        </is>
      </c>
      <c r="E10" s="83" t="inlineStr">
        <is>
          <t>Agent's Withdrawal Amount</t>
        </is>
      </c>
      <c r="F10" s="84" t="inlineStr">
        <is>
          <t>Nxxx</t>
        </is>
      </c>
      <c r="G10" s="733" t="n"/>
    </row>
    <row r="11" ht="14" customHeight="1" s="581" thickBot="1">
      <c r="B11" s="87" t="inlineStr">
        <is>
          <t>CR</t>
        </is>
      </c>
      <c r="C11" s="216" t="n">
        <v>10120004</v>
      </c>
      <c r="D11" s="119" t="inlineStr">
        <is>
          <t>Float Account - Agent Banking</t>
        </is>
      </c>
      <c r="E11" s="89" t="inlineStr">
        <is>
          <t>Agent's Withdrawal Amount</t>
        </is>
      </c>
      <c r="F11" s="90" t="inlineStr">
        <is>
          <t>Nxxx</t>
        </is>
      </c>
      <c r="G11" s="733" t="n"/>
    </row>
    <row r="13">
      <c r="B13" s="80" t="n"/>
      <c r="E13" s="80" t="n"/>
      <c r="F13" s="80" t="n"/>
      <c r="G13" s="80" t="n"/>
    </row>
  </sheetData>
  <mergeCells count="3">
    <mergeCell ref="B1:E1"/>
    <mergeCell ref="B8:E8"/>
    <mergeCell ref="B3:E3"/>
  </mergeCells>
  <pageMargins left="0.7086614173228347" right="0.7086614173228347" top="0.7480314960629921" bottom="0.7480314960629921" header="0.3149606299212598" footer="0.3149606299212598"/>
  <pageSetup orientation="portrait" paperSize="9" scale="34"/>
</worksheet>
</file>

<file path=xl/worksheets/sheet22.xml><?xml version="1.0" encoding="utf-8"?>
<worksheet xmlns="http://schemas.openxmlformats.org/spreadsheetml/2006/main">
  <sheetPr>
    <tabColor theme="6"/>
    <outlinePr summaryBelow="1" summaryRight="1"/>
    <pageSetUpPr fitToPage="1"/>
  </sheetPr>
  <dimension ref="B1:H15"/>
  <sheetViews>
    <sheetView tabSelected="1" zoomScaleNormal="100" workbookViewId="0">
      <selection activeCell="B9" sqref="B9:E9"/>
    </sheetView>
  </sheetViews>
  <sheetFormatPr baseColWidth="8" defaultColWidth="12.1796875" defaultRowHeight="13.5"/>
  <cols>
    <col width="2.90625" customWidth="1" style="563" min="1" max="1"/>
    <col width="11.453125" customWidth="1" style="563" min="2" max="2"/>
    <col width="24.453125" bestFit="1" customWidth="1" style="563" min="3" max="3"/>
    <col width="52.6328125" customWidth="1" style="563" min="4" max="4"/>
    <col width="45.26953125" customWidth="1" style="563" min="5" max="5"/>
    <col width="64.36328125" bestFit="1" customWidth="1" style="563" min="6" max="6"/>
    <col width="12.1796875" customWidth="1" style="563" min="7" max="8"/>
    <col width="14.36328125" bestFit="1" customWidth="1" style="563" min="9" max="9"/>
    <col width="16.36328125" bestFit="1" customWidth="1" style="563" min="10" max="10"/>
    <col width="12.1796875" customWidth="1" style="563" min="11" max="11"/>
    <col width="12.1796875" customWidth="1" style="563" min="12" max="16384"/>
  </cols>
  <sheetData>
    <row r="1" customFormat="1" s="584">
      <c r="B1" s="615" t="inlineStr">
        <is>
          <t>Scenario : Withdrawal from SLP Commissions Wallet</t>
        </is>
      </c>
      <c r="F1" s="288" t="n"/>
      <c r="H1" s="789" t="n"/>
    </row>
    <row r="2" customFormat="1" s="584">
      <c r="B2" s="615" t="n"/>
      <c r="C2" s="615" t="n"/>
      <c r="D2" s="615" t="n"/>
      <c r="E2" s="615" t="n"/>
      <c r="F2" s="288" t="n"/>
      <c r="H2" s="789" t="n"/>
    </row>
    <row r="3" ht="14" customHeight="1" s="581" thickBot="1">
      <c r="B3" s="616" t="inlineStr">
        <is>
          <t>On the Elkanah's System : At CashBack withdrawal time</t>
        </is>
      </c>
      <c r="C3" s="570" t="n"/>
      <c r="D3" s="570" t="n"/>
      <c r="E3" s="570" t="n"/>
      <c r="F3" s="80" t="n"/>
      <c r="H3" s="661" t="n"/>
    </row>
    <row r="4" ht="14" customFormat="1" customHeight="1" s="2" thickBot="1">
      <c r="B4" s="94" t="inlineStr">
        <is>
          <t>Type</t>
        </is>
      </c>
      <c r="C4" s="95" t="inlineStr">
        <is>
          <t>Account Number</t>
        </is>
      </c>
      <c r="D4" s="95" t="inlineStr">
        <is>
          <t>Name</t>
        </is>
      </c>
      <c r="E4" s="96" t="inlineStr">
        <is>
          <t>Amount</t>
        </is>
      </c>
      <c r="F4" s="96" t="inlineStr">
        <is>
          <t>Value</t>
        </is>
      </c>
    </row>
    <row r="5">
      <c r="B5" s="98" t="inlineStr">
        <is>
          <t>DR</t>
        </is>
      </c>
      <c r="C5" s="108" t="inlineStr">
        <is>
          <t>ICICICIC</t>
        </is>
      </c>
      <c r="D5" s="83" t="inlineStr">
        <is>
          <t>SLP Commission Wallet</t>
        </is>
      </c>
      <c r="E5" s="84" t="inlineStr">
        <is>
          <t>SLP's Withdrawal Amount</t>
        </is>
      </c>
      <c r="F5" s="84" t="inlineStr">
        <is>
          <t>Nxxx</t>
        </is>
      </c>
    </row>
    <row r="6" ht="14" customHeight="1" s="581" thickBot="1">
      <c r="B6" s="87" t="inlineStr">
        <is>
          <t>CR</t>
        </is>
      </c>
      <c r="C6" s="88" t="inlineStr">
        <is>
          <t xml:space="preserve">YYYYYYYYYY  </t>
        </is>
      </c>
      <c r="D6" s="89" t="inlineStr">
        <is>
          <t xml:space="preserve">SLP Main Wallet </t>
        </is>
      </c>
      <c r="E6" s="90" t="inlineStr">
        <is>
          <t>SLP's Withdrawal Amount</t>
        </is>
      </c>
      <c r="F6" s="624" t="inlineStr">
        <is>
          <t>Nxxx  less 10% WHT  (0.9 × Nxxx)</t>
        </is>
      </c>
    </row>
    <row r="7" ht="14" customHeight="1" s="581" thickBot="1">
      <c r="B7" s="621" t="inlineStr">
        <is>
          <t>CR</t>
        </is>
      </c>
      <c r="C7" s="622" t="inlineStr">
        <is>
          <t xml:space="preserve">WWWWWWW  </t>
        </is>
      </c>
      <c r="D7" s="623" t="inlineStr">
        <is>
          <t>WHT Payable</t>
        </is>
      </c>
      <c r="E7" s="624" t="inlineStr">
        <is>
          <t>WHT withheld</t>
        </is>
      </c>
      <c r="F7" s="624" t="inlineStr">
        <is>
          <t>10% × Nxxx</t>
        </is>
      </c>
    </row>
    <row r="8">
      <c r="B8" s="80" t="n"/>
      <c r="E8" s="80" t="n"/>
      <c r="F8" s="80" t="n"/>
      <c r="G8" s="80" t="n"/>
    </row>
    <row r="9" ht="14" customHeight="1" s="581" thickBot="1">
      <c r="B9" s="616" t="inlineStr">
        <is>
          <t>On the Core Banking System : At CashBack withdrawal time</t>
        </is>
      </c>
      <c r="C9" s="570" t="n"/>
      <c r="D9" s="570" t="n"/>
      <c r="E9" s="570" t="n"/>
      <c r="F9" s="80" t="n"/>
      <c r="H9" s="661" t="n"/>
    </row>
    <row r="10" ht="14" customFormat="1" customHeight="1" s="2" thickBot="1">
      <c r="B10" s="105" t="inlineStr">
        <is>
          <t>Type</t>
        </is>
      </c>
      <c r="C10" s="106" t="inlineStr">
        <is>
          <t>Account Number</t>
        </is>
      </c>
      <c r="D10" s="106" t="inlineStr">
        <is>
          <t>Name</t>
        </is>
      </c>
      <c r="E10" s="107" t="inlineStr">
        <is>
          <t>Amount</t>
        </is>
      </c>
      <c r="F10" s="107" t="inlineStr">
        <is>
          <t>Value</t>
        </is>
      </c>
    </row>
    <row r="11">
      <c r="B11" s="98" t="inlineStr">
        <is>
          <t>DR</t>
        </is>
      </c>
      <c r="C11" s="108" t="n">
        <v>20070068</v>
      </c>
      <c r="D11" s="120" t="inlineStr">
        <is>
          <t>Commission_Cashback Payable For Bank9ja Business</t>
        </is>
      </c>
      <c r="E11" s="83" t="inlineStr">
        <is>
          <t>SLP's Withdrawal Amount</t>
        </is>
      </c>
      <c r="F11" s="84" t="inlineStr">
        <is>
          <t>Nxxx</t>
        </is>
      </c>
      <c r="G11" s="733" t="n"/>
    </row>
    <row r="12" ht="14" customHeight="1" s="581" thickBot="1">
      <c r="B12" s="87" t="inlineStr">
        <is>
          <t>CR</t>
        </is>
      </c>
      <c r="C12" s="216" t="n">
        <v>10120004</v>
      </c>
      <c r="D12" s="119" t="inlineStr">
        <is>
          <t>Float Account - SLP Banking</t>
        </is>
      </c>
      <c r="E12" s="89" t="inlineStr">
        <is>
          <t>SLP's Withdrawal Amount</t>
        </is>
      </c>
      <c r="F12" s="624" t="inlineStr">
        <is>
          <t>Nxxx  less 10% WHT  (0.9 × Nxxx)</t>
        </is>
      </c>
      <c r="G12" s="733" t="n"/>
    </row>
    <row r="13" ht="14" customHeight="1" s="581" thickBot="1">
      <c r="B13" s="621" t="inlineStr">
        <is>
          <t>CR</t>
        </is>
      </c>
      <c r="C13" s="625" t="inlineStr">
        <is>
          <t>WHT GL (To be provided)</t>
        </is>
      </c>
      <c r="D13" s="623" t="inlineStr">
        <is>
          <t>WHT Payable</t>
        </is>
      </c>
      <c r="E13" s="624" t="inlineStr">
        <is>
          <t>WHT withheld</t>
        </is>
      </c>
      <c r="F13" s="624" t="inlineStr">
        <is>
          <t>10% × Nxxx</t>
        </is>
      </c>
      <c r="G13" s="733" t="n"/>
    </row>
    <row r="15">
      <c r="B15" s="80" t="n"/>
      <c r="E15" s="80" t="n"/>
      <c r="F15" s="80" t="n"/>
      <c r="G15" s="80" t="n"/>
    </row>
  </sheetData>
  <mergeCells count="3">
    <mergeCell ref="B9:E9"/>
    <mergeCell ref="B1:E1"/>
    <mergeCell ref="B3:E3"/>
  </mergeCells>
  <pageMargins left="0.7086614173228347" right="0.7086614173228347" top="0.7480314960629921" bottom="0.7480314960629921" header="0.3149606299212598" footer="0.3149606299212598"/>
  <pageSetup orientation="portrait" paperSize="9" scale="34"/>
</worksheet>
</file>

<file path=xl/worksheets/sheet23.xml><?xml version="1.0" encoding="utf-8"?>
<worksheet xmlns="http://schemas.openxmlformats.org/spreadsheetml/2006/main">
  <sheetPr>
    <tabColor theme="9"/>
    <outlinePr summaryBelow="1" summaryRight="1"/>
    <pageSetUpPr/>
  </sheetPr>
  <dimension ref="B1:J152"/>
  <sheetViews>
    <sheetView topLeftCell="A32" zoomScale="90" zoomScaleNormal="90" workbookViewId="0">
      <selection activeCell="E44" sqref="E44"/>
    </sheetView>
  </sheetViews>
  <sheetFormatPr baseColWidth="8" defaultColWidth="12.1796875" defaultRowHeight="14.5"/>
  <cols>
    <col width="6" customWidth="1" style="581" min="1" max="1"/>
    <col width="6.1796875" customWidth="1" style="581" min="2" max="2"/>
    <col width="25" customWidth="1" style="581" min="3" max="3"/>
    <col width="43.54296875" customWidth="1" style="581" min="4" max="4"/>
    <col width="40.453125" customWidth="1" style="581" min="5" max="5"/>
    <col width="28.1796875" customWidth="1" style="581" min="6" max="6"/>
  </cols>
  <sheetData>
    <row r="1" ht="15" customHeight="1" s="581" thickBot="1">
      <c r="B1" s="571" t="n"/>
      <c r="C1" s="570" t="n"/>
      <c r="D1" s="570" t="n"/>
    </row>
    <row r="2" ht="15" customHeight="1" s="581" thickBot="1">
      <c r="B2" s="575" t="inlineStr">
        <is>
          <t>1A. Card Withdrawal (for amount N100 to N3,100)</t>
        </is>
      </c>
      <c r="C2" s="573" t="n"/>
      <c r="D2" s="573" t="n"/>
      <c r="E2" s="573" t="n"/>
      <c r="F2" s="576" t="n"/>
    </row>
    <row r="3" ht="15" customHeight="1" s="581" thickBot="1">
      <c r="B3" s="619" t="inlineStr">
        <is>
          <t>Instant Settlement to Agent's Account</t>
        </is>
      </c>
      <c r="C3" s="573" t="n"/>
      <c r="D3" s="573" t="n"/>
      <c r="E3" s="423" t="n"/>
      <c r="F3" s="67" t="n"/>
    </row>
    <row r="4" ht="15" customHeight="1" s="581" thickBot="1">
      <c r="B4" s="42" t="inlineStr">
        <is>
          <t>Type</t>
        </is>
      </c>
      <c r="C4" s="43" t="inlineStr">
        <is>
          <t>Account Number</t>
        </is>
      </c>
      <c r="D4" s="43" t="inlineStr">
        <is>
          <t>Name</t>
        </is>
      </c>
      <c r="E4" s="43" t="inlineStr">
        <is>
          <t>Amount</t>
        </is>
      </c>
      <c r="F4" s="43" t="inlineStr">
        <is>
          <t>Value</t>
        </is>
      </c>
    </row>
    <row r="5" ht="15" customHeight="1" s="581" thickBot="1">
      <c r="B5" s="11" t="inlineStr">
        <is>
          <t>DR</t>
        </is>
      </c>
      <c r="C5" s="66" t="inlineStr">
        <is>
          <t>To be opened</t>
        </is>
      </c>
      <c r="D5" s="66" t="inlineStr">
        <is>
          <t>ISW Card Transaction - Receivable Account</t>
        </is>
      </c>
      <c r="E5" s="12" t="inlineStr">
        <is>
          <t xml:space="preserve">Transaction Amount </t>
        </is>
      </c>
      <c r="F5" s="12" t="inlineStr">
        <is>
          <t xml:space="preserve">Nxxx </t>
        </is>
      </c>
      <c r="G5" s="13" t="n"/>
    </row>
    <row r="6" ht="15" customHeight="1" s="581" thickBot="1">
      <c r="B6" s="11" t="inlineStr">
        <is>
          <t>CR</t>
        </is>
      </c>
      <c r="C6" s="12" t="inlineStr">
        <is>
          <t>AAAAAAAAAA</t>
        </is>
      </c>
      <c r="D6" s="12" t="inlineStr">
        <is>
          <t>Agent’s Account</t>
        </is>
      </c>
      <c r="E6" s="12" t="inlineStr">
        <is>
          <t xml:space="preserve">Transaction Amount </t>
        </is>
      </c>
      <c r="F6" s="12" t="inlineStr">
        <is>
          <t>Nxxx</t>
        </is>
      </c>
      <c r="G6" s="16" t="n"/>
    </row>
    <row r="7" ht="15" customHeight="1" s="581" thickBot="1">
      <c r="B7" s="11" t="n"/>
      <c r="C7" s="12" t="n"/>
      <c r="D7" s="12" t="n"/>
      <c r="E7" s="12" t="n"/>
      <c r="F7" s="12" t="n"/>
      <c r="G7" s="16" t="n"/>
    </row>
    <row r="8" ht="15" customHeight="1" s="581" thickBot="1">
      <c r="B8" s="620" t="inlineStr">
        <is>
          <t>Fee Taking and Splitting</t>
        </is>
      </c>
      <c r="C8" s="573" t="n"/>
      <c r="D8" s="573" t="n"/>
      <c r="E8" s="574" t="n"/>
      <c r="F8" s="12" t="n"/>
      <c r="G8" s="16" t="n"/>
    </row>
    <row r="9" ht="15" customHeight="1" s="581" thickBot="1">
      <c r="B9" s="11" t="inlineStr">
        <is>
          <t>DR</t>
        </is>
      </c>
      <c r="C9" s="12" t="inlineStr">
        <is>
          <t>AAAAAAAAAA</t>
        </is>
      </c>
      <c r="D9" s="12" t="inlineStr">
        <is>
          <t>Agent’s Account</t>
        </is>
      </c>
      <c r="E9" s="12" t="inlineStr">
        <is>
          <t>Total Trans Fees + VAT</t>
        </is>
      </c>
      <c r="F9" s="12" t="inlineStr">
        <is>
          <t>N26.88</t>
        </is>
      </c>
      <c r="G9" s="16" t="n"/>
      <c r="H9" s="790" t="n"/>
      <c r="I9" s="785" t="n"/>
    </row>
    <row r="10" ht="15" customHeight="1" s="581" thickBot="1">
      <c r="B10" s="11" t="inlineStr">
        <is>
          <t>CR</t>
        </is>
      </c>
      <c r="C10" s="66" t="inlineStr">
        <is>
          <t>To be opened</t>
        </is>
      </c>
      <c r="D10" s="66" t="inlineStr">
        <is>
          <t>ISW Card Transaction - Receivable Account</t>
        </is>
      </c>
      <c r="E10" s="12" t="inlineStr">
        <is>
          <t>Switching Fees due to ISW</t>
        </is>
      </c>
      <c r="F10" s="12" t="inlineStr">
        <is>
          <t>0.3% * Nxxx</t>
        </is>
      </c>
      <c r="G10" s="16" t="n"/>
      <c r="H10" s="790" t="n"/>
    </row>
    <row r="11" ht="15" customHeight="1" s="581" thickBot="1">
      <c r="B11" s="11" t="inlineStr">
        <is>
          <t>CR</t>
        </is>
      </c>
      <c r="C11" s="20" t="inlineStr">
        <is>
          <t>To be opened</t>
        </is>
      </c>
      <c r="D11" s="12" t="inlineStr">
        <is>
          <t xml:space="preserve">CEVA Transaction Processing </t>
        </is>
      </c>
      <c r="E11" s="12" t="inlineStr">
        <is>
          <t>Transaction Processing Fees</t>
        </is>
      </c>
      <c r="F11" s="12" t="inlineStr">
        <is>
          <t>N16.12 - (0.3% * Nxxx)</t>
        </is>
      </c>
      <c r="H11" s="75" t="n"/>
      <c r="J11" s="791" t="n"/>
    </row>
    <row r="12" ht="15" customHeight="1" s="581" thickBot="1">
      <c r="B12" s="11" t="inlineStr">
        <is>
          <t>CR</t>
        </is>
      </c>
      <c r="C12" s="12" t="inlineStr">
        <is>
          <t>GL300301</t>
        </is>
      </c>
      <c r="D12" s="12" t="inlineStr">
        <is>
          <t>Revenue from Cashout</t>
        </is>
      </c>
      <c r="E12" s="12" t="inlineStr">
        <is>
          <t>Fees due to 9PSB</t>
        </is>
      </c>
      <c r="F12" s="12" t="inlineStr">
        <is>
          <t>N5.00</t>
        </is>
      </c>
    </row>
    <row r="13" ht="15" customHeight="1" s="581" thickBot="1">
      <c r="B13" s="11" t="inlineStr">
        <is>
          <t>CR</t>
        </is>
      </c>
      <c r="C13" s="12" t="n">
        <v>700506</v>
      </c>
      <c r="D13" s="12" t="inlineStr">
        <is>
          <t>VAT - Output</t>
        </is>
      </c>
      <c r="E13" s="12" t="inlineStr">
        <is>
          <t>VAT on Fees due to 9PSB</t>
        </is>
      </c>
      <c r="F13" s="12" t="inlineStr">
        <is>
          <t>N0.38</t>
        </is>
      </c>
    </row>
    <row r="14" ht="15" customHeight="1" s="581" thickBot="1">
      <c r="B14" s="68" t="inlineStr">
        <is>
          <t>CR</t>
        </is>
      </c>
      <c r="C14" s="69" t="inlineStr">
        <is>
          <t>SSSSSSSSSS</t>
        </is>
      </c>
      <c r="D14" s="69" t="inlineStr">
        <is>
          <t>SLP Cashout Commission</t>
        </is>
      </c>
      <c r="E14" s="70" t="inlineStr">
        <is>
          <t>Commission due to SLP less WHT</t>
        </is>
      </c>
      <c r="F14" s="70" t="inlineStr">
        <is>
          <t>N4.84</t>
        </is>
      </c>
    </row>
    <row r="15" ht="15" customHeight="1" s="581" thickBot="1">
      <c r="B15" s="71" t="inlineStr">
        <is>
          <t>CR</t>
        </is>
      </c>
      <c r="C15" s="72" t="n">
        <v>700516</v>
      </c>
      <c r="D15" s="72" t="inlineStr">
        <is>
          <t>WHT - Commission</t>
        </is>
      </c>
      <c r="E15" s="73" t="inlineStr">
        <is>
          <t>WHT on SLP Commission</t>
        </is>
      </c>
      <c r="F15" s="74" t="inlineStr">
        <is>
          <t>N0.54</t>
        </is>
      </c>
    </row>
    <row r="16" ht="27" customHeight="1" s="581">
      <c r="B16" s="16" t="n"/>
      <c r="C16" s="618" t="inlineStr">
        <is>
          <t>Note: AAAAAAAAAA - Varying Agent's account
         SSSSSSSSSS - Varying SLP's account</t>
        </is>
      </c>
      <c r="D16" s="559" t="n"/>
      <c r="E16" s="559" t="n"/>
      <c r="F16" s="559" t="n"/>
      <c r="H16" s="785" t="n"/>
    </row>
    <row r="17">
      <c r="B17" s="16" t="n"/>
      <c r="C17" s="16" t="n"/>
      <c r="D17" s="16" t="n"/>
      <c r="E17" s="16" t="n"/>
      <c r="F17" s="16" t="n"/>
    </row>
    <row r="18" ht="15" customHeight="1" s="581" thickBot="1">
      <c r="B18" s="16" t="n"/>
      <c r="C18" s="16" t="n"/>
      <c r="D18" s="16" t="n"/>
      <c r="E18" s="16" t="n"/>
      <c r="F18" s="16" t="n"/>
    </row>
    <row r="19" ht="15" customHeight="1" s="581" thickBot="1">
      <c r="B19" s="575" t="inlineStr">
        <is>
          <t>1B. Card Withdrawal (for amount N3,101 to N10,500)</t>
        </is>
      </c>
      <c r="C19" s="573" t="n"/>
      <c r="D19" s="573" t="n"/>
      <c r="E19" s="573" t="n"/>
      <c r="F19" s="576" t="n"/>
    </row>
    <row r="20" ht="15" customHeight="1" s="581" thickBot="1">
      <c r="B20" s="619" t="inlineStr">
        <is>
          <t>Instant Settlement to Agent's Account</t>
        </is>
      </c>
      <c r="C20" s="573" t="n"/>
      <c r="D20" s="573" t="n"/>
      <c r="E20" s="423" t="n"/>
      <c r="F20" s="67" t="n"/>
    </row>
    <row r="21" ht="15" customHeight="1" s="581" thickBot="1">
      <c r="B21" s="42" t="inlineStr">
        <is>
          <t>Type</t>
        </is>
      </c>
      <c r="C21" s="43" t="inlineStr">
        <is>
          <t>Account Number</t>
        </is>
      </c>
      <c r="D21" s="43" t="inlineStr">
        <is>
          <t>Name</t>
        </is>
      </c>
      <c r="E21" s="43" t="inlineStr">
        <is>
          <t>Amount</t>
        </is>
      </c>
      <c r="F21" s="43" t="inlineStr">
        <is>
          <t>Value</t>
        </is>
      </c>
    </row>
    <row r="22" ht="15" customHeight="1" s="581" thickBot="1">
      <c r="B22" s="11" t="inlineStr">
        <is>
          <t>DR</t>
        </is>
      </c>
      <c r="C22" s="66" t="inlineStr">
        <is>
          <t>To be opened</t>
        </is>
      </c>
      <c r="D22" s="66" t="inlineStr">
        <is>
          <t>ISW Card Transaction - Receivable Account</t>
        </is>
      </c>
      <c r="E22" s="12" t="inlineStr">
        <is>
          <t xml:space="preserve">Transaction Amount </t>
        </is>
      </c>
      <c r="F22" s="12" t="inlineStr">
        <is>
          <t xml:space="preserve">Nxxx </t>
        </is>
      </c>
      <c r="G22" s="13" t="n"/>
    </row>
    <row r="23" ht="15" customHeight="1" s="581" thickBot="1">
      <c r="B23" s="11" t="inlineStr">
        <is>
          <t>CR</t>
        </is>
      </c>
      <c r="C23" s="12" t="inlineStr">
        <is>
          <t>AAAAAAAAAA</t>
        </is>
      </c>
      <c r="D23" s="12" t="inlineStr">
        <is>
          <t>Agent’s Account</t>
        </is>
      </c>
      <c r="E23" s="12" t="inlineStr">
        <is>
          <t xml:space="preserve">Transaction Amount </t>
        </is>
      </c>
      <c r="F23" s="12" t="inlineStr">
        <is>
          <t>Nxxx</t>
        </is>
      </c>
      <c r="G23" s="16" t="n"/>
    </row>
    <row r="24" ht="15" customHeight="1" s="581" thickBot="1">
      <c r="B24" s="11" t="n"/>
      <c r="C24" s="12" t="n"/>
      <c r="D24" s="12" t="n"/>
      <c r="E24" s="12" t="n"/>
      <c r="F24" s="12" t="n"/>
      <c r="G24" s="16" t="n"/>
    </row>
    <row r="25" ht="15" customHeight="1" s="581" thickBot="1">
      <c r="B25" s="620" t="inlineStr">
        <is>
          <t>Fee Taking and Splitting</t>
        </is>
      </c>
      <c r="C25" s="573" t="n"/>
      <c r="D25" s="573" t="n"/>
      <c r="E25" s="574" t="n"/>
      <c r="F25" s="12" t="n"/>
      <c r="G25" s="16" t="n"/>
    </row>
    <row r="26" ht="15" customHeight="1" s="581" thickBot="1">
      <c r="B26" s="11" t="inlineStr">
        <is>
          <t>DR</t>
        </is>
      </c>
      <c r="C26" s="12" t="inlineStr">
        <is>
          <t>AAAAAAAAAA</t>
        </is>
      </c>
      <c r="D26" s="12" t="inlineStr">
        <is>
          <t>Agent’s Account</t>
        </is>
      </c>
      <c r="E26" s="12" t="inlineStr">
        <is>
          <t>Total Trans Fees + VAT</t>
        </is>
      </c>
      <c r="F26" s="12" t="inlineStr">
        <is>
          <t>N53.75</t>
        </is>
      </c>
      <c r="G26" s="16" t="n"/>
      <c r="H26" s="790" t="n"/>
      <c r="I26" s="76" t="n"/>
      <c r="J26" s="785" t="n"/>
    </row>
    <row r="27" ht="15" customHeight="1" s="581" thickBot="1">
      <c r="B27" s="11" t="inlineStr">
        <is>
          <t>CR</t>
        </is>
      </c>
      <c r="C27" s="66" t="inlineStr">
        <is>
          <t>To be opened</t>
        </is>
      </c>
      <c r="D27" s="66" t="inlineStr">
        <is>
          <t>ISW Card Transaction - Receivable Account</t>
        </is>
      </c>
      <c r="E27" s="12" t="inlineStr">
        <is>
          <t>Switching fees due to ISW</t>
        </is>
      </c>
      <c r="F27" s="12" t="inlineStr">
        <is>
          <t>0.3% * Nxxx (Capped at N20)</t>
        </is>
      </c>
      <c r="G27" s="16" t="n"/>
      <c r="H27" s="790" t="n"/>
    </row>
    <row r="28" ht="15" customHeight="1" s="581" thickBot="1">
      <c r="B28" s="11" t="inlineStr">
        <is>
          <t>CR</t>
        </is>
      </c>
      <c r="C28" s="20" t="inlineStr">
        <is>
          <t>To be opened</t>
        </is>
      </c>
      <c r="D28" s="12" t="inlineStr">
        <is>
          <t xml:space="preserve">CEVA Transaction Processing </t>
        </is>
      </c>
      <c r="E28" s="12" t="inlineStr">
        <is>
          <t>Transaction Processing Fees</t>
        </is>
      </c>
      <c r="F28" s="12" t="inlineStr">
        <is>
          <t>N16.12 - (0.3% * Nxxx)</t>
        </is>
      </c>
      <c r="H28" s="75" t="n"/>
      <c r="J28" s="791" t="n"/>
    </row>
    <row r="29" ht="15" customHeight="1" s="581" thickBot="1">
      <c r="B29" s="11" t="inlineStr">
        <is>
          <t>CR</t>
        </is>
      </c>
      <c r="C29" s="12" t="inlineStr">
        <is>
          <t>GL300301</t>
        </is>
      </c>
      <c r="D29" s="12" t="inlineStr">
        <is>
          <t>Revenue from Cashout</t>
        </is>
      </c>
      <c r="E29" s="12" t="inlineStr">
        <is>
          <t>Fees due to 9PSB</t>
        </is>
      </c>
      <c r="F29" s="12" t="inlineStr">
        <is>
          <t>N5.00</t>
        </is>
      </c>
    </row>
    <row r="30" ht="15" customHeight="1" s="581" thickBot="1">
      <c r="B30" s="11" t="inlineStr">
        <is>
          <t>CR</t>
        </is>
      </c>
      <c r="C30" s="12" t="n">
        <v>700506</v>
      </c>
      <c r="D30" s="12" t="inlineStr">
        <is>
          <t>VAT - Output</t>
        </is>
      </c>
      <c r="E30" s="12" t="inlineStr">
        <is>
          <t>VAT on Fees due to 9PSB</t>
        </is>
      </c>
      <c r="F30" s="12" t="inlineStr">
        <is>
          <t>N0.38</t>
        </is>
      </c>
      <c r="H30" s="75" t="n"/>
    </row>
    <row r="31" ht="15" customHeight="1" s="581" thickBot="1">
      <c r="B31" s="68" t="inlineStr">
        <is>
          <t>CR</t>
        </is>
      </c>
      <c r="C31" s="69" t="inlineStr">
        <is>
          <t>SSSSSSSSSS</t>
        </is>
      </c>
      <c r="D31" s="69" t="inlineStr">
        <is>
          <t>SLP Cashout Commission</t>
        </is>
      </c>
      <c r="E31" s="70" t="inlineStr">
        <is>
          <t>Commission due to SLP less WHT</t>
        </is>
      </c>
      <c r="F31" s="70" t="inlineStr">
        <is>
          <t>N4.84</t>
        </is>
      </c>
    </row>
    <row r="32" ht="15" customHeight="1" s="581" thickBot="1">
      <c r="B32" s="71" t="inlineStr">
        <is>
          <t>CR</t>
        </is>
      </c>
      <c r="C32" s="72" t="n">
        <v>700516</v>
      </c>
      <c r="D32" s="72" t="inlineStr">
        <is>
          <t>WHT - Commission</t>
        </is>
      </c>
      <c r="E32" s="73" t="inlineStr">
        <is>
          <t>WHT on SLP Commission</t>
        </is>
      </c>
      <c r="F32" s="74" t="inlineStr">
        <is>
          <t>N0.54</t>
        </is>
      </c>
    </row>
    <row r="33" ht="22.5" customHeight="1" s="581">
      <c r="B33" s="16" t="n"/>
      <c r="C33" s="618" t="inlineStr">
        <is>
          <t>Note: AAAAAAAAAA - Varying Agent's account
         SSSSSSSSSS - Varying SLP's account</t>
        </is>
      </c>
      <c r="D33" s="559" t="n"/>
      <c r="E33" s="559" t="n"/>
      <c r="F33" s="559" t="n"/>
      <c r="H33" s="785" t="n"/>
    </row>
    <row r="34">
      <c r="B34" s="16" t="n"/>
      <c r="C34" s="16" t="n"/>
      <c r="D34" s="16" t="n"/>
      <c r="E34" s="16" t="n"/>
      <c r="F34" s="16" t="n"/>
    </row>
    <row r="35" ht="15" customHeight="1" s="581" thickBot="1">
      <c r="B35" s="16" t="n"/>
      <c r="C35" s="16" t="n"/>
      <c r="D35" s="16" t="n"/>
      <c r="E35" s="16" t="n"/>
      <c r="F35" s="16" t="n"/>
    </row>
    <row r="36" ht="15" customHeight="1" s="581" thickBot="1">
      <c r="B36" s="575" t="inlineStr">
        <is>
          <t>1C. Card Withdrawal (for amount N10,501 - N101,000)</t>
        </is>
      </c>
      <c r="C36" s="573" t="n"/>
      <c r="D36" s="573" t="n"/>
      <c r="E36" s="573" t="n"/>
      <c r="F36" s="576" t="n"/>
    </row>
    <row r="37" ht="15" customHeight="1" s="581" thickBot="1">
      <c r="B37" s="619" t="inlineStr">
        <is>
          <t>Instant Settlement to Agent's Account</t>
        </is>
      </c>
      <c r="C37" s="573" t="n"/>
      <c r="D37" s="573" t="n"/>
      <c r="E37" s="423" t="n"/>
      <c r="F37" s="67" t="n"/>
    </row>
    <row r="38" ht="15" customHeight="1" s="581" thickBot="1">
      <c r="B38" s="42" t="inlineStr">
        <is>
          <t>Type</t>
        </is>
      </c>
      <c r="C38" s="43" t="inlineStr">
        <is>
          <t>Account Number</t>
        </is>
      </c>
      <c r="D38" s="43" t="inlineStr">
        <is>
          <t>Name</t>
        </is>
      </c>
      <c r="E38" s="43" t="inlineStr">
        <is>
          <t>Amount</t>
        </is>
      </c>
      <c r="F38" s="43" t="inlineStr">
        <is>
          <t>Value</t>
        </is>
      </c>
    </row>
    <row r="39" ht="15" customHeight="1" s="581" thickBot="1">
      <c r="B39" s="11" t="inlineStr">
        <is>
          <t>DR</t>
        </is>
      </c>
      <c r="C39" s="66" t="inlineStr">
        <is>
          <t>To be opened</t>
        </is>
      </c>
      <c r="D39" s="66" t="inlineStr">
        <is>
          <t>ISW Card Transaction - Receivable Account</t>
        </is>
      </c>
      <c r="E39" s="12" t="inlineStr">
        <is>
          <t xml:space="preserve">Transaction Amount </t>
        </is>
      </c>
      <c r="F39" s="12" t="inlineStr">
        <is>
          <t xml:space="preserve">Nxxx </t>
        </is>
      </c>
      <c r="G39" s="13" t="n"/>
    </row>
    <row r="40" ht="15" customHeight="1" s="581" thickBot="1">
      <c r="B40" s="11" t="inlineStr">
        <is>
          <t>CR</t>
        </is>
      </c>
      <c r="C40" s="12" t="inlineStr">
        <is>
          <t>AAAAAAAAAA</t>
        </is>
      </c>
      <c r="D40" s="12" t="inlineStr">
        <is>
          <t>Agent’s Account</t>
        </is>
      </c>
      <c r="E40" s="12" t="inlineStr">
        <is>
          <t xml:space="preserve">Transaction Amount </t>
        </is>
      </c>
      <c r="F40" s="12" t="inlineStr">
        <is>
          <t>Nxxx</t>
        </is>
      </c>
      <c r="G40" s="16" t="n"/>
    </row>
    <row r="41" ht="15" customHeight="1" s="581" thickBot="1">
      <c r="B41" s="11" t="n"/>
      <c r="C41" s="12" t="n"/>
      <c r="D41" s="12" t="n"/>
      <c r="E41" s="12" t="n"/>
      <c r="F41" s="12" t="n"/>
      <c r="G41" s="16" t="n"/>
    </row>
    <row r="42" ht="15" customHeight="1" s="581" thickBot="1">
      <c r="B42" s="620" t="inlineStr">
        <is>
          <t>Fee Taking and Splitting</t>
        </is>
      </c>
      <c r="C42" s="573" t="n"/>
      <c r="D42" s="573" t="n"/>
      <c r="E42" s="574" t="n"/>
      <c r="F42" s="12" t="n"/>
      <c r="G42" s="16" t="n"/>
    </row>
    <row r="43" ht="15" customHeight="1" s="581" thickBot="1">
      <c r="B43" s="11" t="inlineStr">
        <is>
          <t>DR</t>
        </is>
      </c>
      <c r="C43" s="12" t="inlineStr">
        <is>
          <t>AAAAAAAAAA</t>
        </is>
      </c>
      <c r="D43" s="12" t="inlineStr">
        <is>
          <t>Agent’s Account</t>
        </is>
      </c>
      <c r="E43" s="12" t="inlineStr">
        <is>
          <t>Total Trans Fees + VAT</t>
        </is>
      </c>
      <c r="F43" s="12" t="inlineStr">
        <is>
          <t>N107.50</t>
        </is>
      </c>
      <c r="G43" s="16" t="n"/>
      <c r="H43" s="790" t="n"/>
      <c r="I43" s="76" t="n"/>
      <c r="J43" s="785" t="n"/>
    </row>
    <row r="44" ht="15" customHeight="1" s="581" thickBot="1">
      <c r="B44" s="11" t="inlineStr">
        <is>
          <t>CR</t>
        </is>
      </c>
      <c r="C44" s="66" t="inlineStr">
        <is>
          <t>To be opened</t>
        </is>
      </c>
      <c r="D44" s="66" t="inlineStr">
        <is>
          <t>ISW Card Transaction - Receivable Account</t>
        </is>
      </c>
      <c r="E44" s="12" t="inlineStr">
        <is>
          <t>Switching fees due to ISW</t>
        </is>
      </c>
      <c r="F44" s="20" t="inlineStr">
        <is>
          <t>N20.00</t>
        </is>
      </c>
      <c r="G44" s="16" t="n"/>
      <c r="H44" s="790" t="n"/>
    </row>
    <row r="45" ht="15" customHeight="1" s="581" thickBot="1">
      <c r="B45" s="11" t="inlineStr">
        <is>
          <t>CR</t>
        </is>
      </c>
      <c r="C45" s="20" t="inlineStr">
        <is>
          <t>To be opened</t>
        </is>
      </c>
      <c r="D45" s="12" t="inlineStr">
        <is>
          <t xml:space="preserve">CEVA Transaction Processing </t>
        </is>
      </c>
      <c r="E45" s="12" t="inlineStr">
        <is>
          <t>Transaction Processing Fees</t>
        </is>
      </c>
      <c r="F45" s="20" t="inlineStr">
        <is>
          <t>N6.87</t>
        </is>
      </c>
      <c r="H45" s="75" t="n"/>
      <c r="J45" s="791" t="n"/>
    </row>
    <row r="46" ht="15" customHeight="1" s="581" thickBot="1">
      <c r="B46" s="11" t="inlineStr">
        <is>
          <t>CR</t>
        </is>
      </c>
      <c r="C46" s="12" t="inlineStr">
        <is>
          <t>GL300301</t>
        </is>
      </c>
      <c r="D46" s="12" t="inlineStr">
        <is>
          <t>Revenue from Cashout</t>
        </is>
      </c>
      <c r="E46" s="12" t="inlineStr">
        <is>
          <t>Fees due to 9PSB</t>
        </is>
      </c>
      <c r="F46" s="12" t="inlineStr">
        <is>
          <t>N50.00</t>
        </is>
      </c>
    </row>
    <row r="47" ht="15" customHeight="1" s="581" thickBot="1">
      <c r="B47" s="11" t="inlineStr">
        <is>
          <t>CR</t>
        </is>
      </c>
      <c r="C47" s="12" t="n">
        <v>700506</v>
      </c>
      <c r="D47" s="12" t="inlineStr">
        <is>
          <t>VAT - Output</t>
        </is>
      </c>
      <c r="E47" s="12" t="inlineStr">
        <is>
          <t>VAT on Fees due to 9PSB</t>
        </is>
      </c>
      <c r="F47" s="12" t="inlineStr">
        <is>
          <t>N3.75</t>
        </is>
      </c>
    </row>
    <row r="48" ht="15" customHeight="1" s="581" thickBot="1">
      <c r="B48" s="68" t="inlineStr">
        <is>
          <t>CR</t>
        </is>
      </c>
      <c r="C48" s="69" t="inlineStr">
        <is>
          <t>SSSSSSSSSS</t>
        </is>
      </c>
      <c r="D48" s="69" t="inlineStr">
        <is>
          <t>SLP Cashout Commission</t>
        </is>
      </c>
      <c r="E48" s="70" t="inlineStr">
        <is>
          <t>Commission due to SLP less WHT</t>
        </is>
      </c>
      <c r="F48" s="70" t="inlineStr">
        <is>
          <t>N24.19</t>
        </is>
      </c>
      <c r="I48" s="76" t="n"/>
    </row>
    <row r="49" ht="15" customHeight="1" s="581" thickBot="1">
      <c r="B49" s="71" t="inlineStr">
        <is>
          <t>CR</t>
        </is>
      </c>
      <c r="C49" s="72" t="n">
        <v>700516</v>
      </c>
      <c r="D49" s="72" t="inlineStr">
        <is>
          <t>WHT - Commission</t>
        </is>
      </c>
      <c r="E49" s="73" t="inlineStr">
        <is>
          <t>WHT on SLP Commission</t>
        </is>
      </c>
      <c r="F49" s="74" t="inlineStr">
        <is>
          <t>N2.69</t>
        </is>
      </c>
      <c r="H49" s="75" t="n"/>
    </row>
    <row r="50" ht="29.15" customHeight="1" s="581">
      <c r="B50" s="16" t="n"/>
      <c r="C50" s="618" t="inlineStr">
        <is>
          <t>Note: AAAAAAAAAA - Varying Agent's account
         SSSSSSSSSS - Varying SLP's account</t>
        </is>
      </c>
      <c r="D50" s="559" t="n"/>
      <c r="E50" s="559" t="n"/>
      <c r="F50" s="559" t="n"/>
      <c r="H50" s="785" t="n"/>
    </row>
    <row r="51">
      <c r="B51" s="16" t="n"/>
      <c r="C51" s="16" t="n"/>
      <c r="D51" s="16" t="n"/>
      <c r="E51" s="16" t="n"/>
      <c r="F51" s="16" t="n"/>
      <c r="H51" s="785" t="n"/>
    </row>
    <row r="52" ht="15" customHeight="1" s="581" thickBot="1">
      <c r="B52" s="16" t="n"/>
      <c r="C52" s="16" t="n"/>
      <c r="D52" s="16" t="n"/>
      <c r="E52" s="16" t="n"/>
      <c r="F52" s="16" t="n"/>
    </row>
    <row r="53" ht="15" customHeight="1" s="581" thickBot="1">
      <c r="B53" s="575" t="inlineStr">
        <is>
          <t>1D. Card Withdrawal (for amount N101,001 - N500,000)</t>
        </is>
      </c>
      <c r="C53" s="573" t="n"/>
      <c r="D53" s="573" t="n"/>
      <c r="E53" s="573" t="n"/>
      <c r="F53" s="576" t="n"/>
    </row>
    <row r="54" ht="15" customHeight="1" s="581" thickBot="1">
      <c r="B54" s="619" t="inlineStr">
        <is>
          <t>Instant Settlement to Agent's Account</t>
        </is>
      </c>
      <c r="C54" s="573" t="n"/>
      <c r="D54" s="573" t="n"/>
      <c r="E54" s="423" t="n"/>
      <c r="F54" s="67" t="n"/>
    </row>
    <row r="55" ht="15" customHeight="1" s="581" thickBot="1">
      <c r="B55" s="42" t="inlineStr">
        <is>
          <t>Type</t>
        </is>
      </c>
      <c r="C55" s="43" t="inlineStr">
        <is>
          <t>Account Number</t>
        </is>
      </c>
      <c r="D55" s="43" t="inlineStr">
        <is>
          <t>Name</t>
        </is>
      </c>
      <c r="E55" s="43" t="inlineStr">
        <is>
          <t>Amount</t>
        </is>
      </c>
      <c r="F55" s="43" t="inlineStr">
        <is>
          <t>Value</t>
        </is>
      </c>
    </row>
    <row r="56" ht="15" customHeight="1" s="581" thickBot="1">
      <c r="B56" s="11" t="inlineStr">
        <is>
          <t>DR</t>
        </is>
      </c>
      <c r="C56" s="66" t="inlineStr">
        <is>
          <t>To be opened</t>
        </is>
      </c>
      <c r="D56" s="66" t="inlineStr">
        <is>
          <t>ISW Card Transaction - Receivable Account</t>
        </is>
      </c>
      <c r="E56" s="12" t="inlineStr">
        <is>
          <t xml:space="preserve">Transaction Amount </t>
        </is>
      </c>
      <c r="F56" s="12" t="inlineStr">
        <is>
          <t xml:space="preserve">Nxxx </t>
        </is>
      </c>
      <c r="G56" s="13" t="n"/>
    </row>
    <row r="57" ht="15" customHeight="1" s="581" thickBot="1">
      <c r="B57" s="11" t="inlineStr">
        <is>
          <t>CR</t>
        </is>
      </c>
      <c r="C57" s="12" t="inlineStr">
        <is>
          <t>AAAAAAAAAA</t>
        </is>
      </c>
      <c r="D57" s="12" t="inlineStr">
        <is>
          <t>Agent’s Account</t>
        </is>
      </c>
      <c r="E57" s="12" t="inlineStr">
        <is>
          <t xml:space="preserve">Transaction Amount </t>
        </is>
      </c>
      <c r="F57" s="12" t="inlineStr">
        <is>
          <t>Nxxx</t>
        </is>
      </c>
      <c r="G57" s="16" t="n"/>
    </row>
    <row r="58" ht="15" customHeight="1" s="581" thickBot="1">
      <c r="B58" s="11" t="n"/>
      <c r="C58" s="12" t="n"/>
      <c r="D58" s="12" t="n"/>
      <c r="E58" s="12" t="n"/>
      <c r="F58" s="12" t="n"/>
      <c r="G58" s="16" t="n"/>
    </row>
    <row r="59" ht="15" customHeight="1" s="581" thickBot="1">
      <c r="B59" s="620" t="inlineStr">
        <is>
          <t>Fee Taking and Splitting</t>
        </is>
      </c>
      <c r="C59" s="573" t="n"/>
      <c r="D59" s="573" t="n"/>
      <c r="E59" s="574" t="n"/>
      <c r="F59" s="12" t="n"/>
      <c r="G59" s="16" t="n"/>
    </row>
    <row r="60" ht="15" customHeight="1" s="581" thickBot="1">
      <c r="B60" s="11" t="inlineStr">
        <is>
          <t>DR</t>
        </is>
      </c>
      <c r="C60" s="12" t="inlineStr">
        <is>
          <t>AAAAAAAAAA</t>
        </is>
      </c>
      <c r="D60" s="12" t="inlineStr">
        <is>
          <t>Agent’s Account</t>
        </is>
      </c>
      <c r="E60" s="12" t="inlineStr">
        <is>
          <t>Total Trans Fees + VAT</t>
        </is>
      </c>
      <c r="F60" s="12" t="inlineStr">
        <is>
          <t>N161.25</t>
        </is>
      </c>
      <c r="G60" s="16" t="n"/>
      <c r="H60" s="790" t="n"/>
      <c r="I60" s="76" t="n"/>
      <c r="J60" s="785" t="n"/>
    </row>
    <row r="61" ht="15" customHeight="1" s="581" thickBot="1">
      <c r="B61" s="11" t="inlineStr">
        <is>
          <t>CR</t>
        </is>
      </c>
      <c r="C61" s="66" t="inlineStr">
        <is>
          <t>To be opened</t>
        </is>
      </c>
      <c r="D61" s="66" t="inlineStr">
        <is>
          <t>ISW Card Transaction - Receivable Account</t>
        </is>
      </c>
      <c r="E61" s="12" t="inlineStr">
        <is>
          <t>Switching fees due to ISW</t>
        </is>
      </c>
      <c r="F61" s="20" t="inlineStr">
        <is>
          <t>N20.00</t>
        </is>
      </c>
      <c r="G61" s="16" t="n"/>
      <c r="H61" s="790" t="n"/>
    </row>
    <row r="62" ht="15" customHeight="1" s="581" thickBot="1">
      <c r="B62" s="11" t="inlineStr">
        <is>
          <t>CR</t>
        </is>
      </c>
      <c r="C62" s="20" t="inlineStr">
        <is>
          <t>To be opened</t>
        </is>
      </c>
      <c r="D62" s="12" t="inlineStr">
        <is>
          <t xml:space="preserve">CEVA Transaction Processing </t>
        </is>
      </c>
      <c r="E62" s="12" t="inlineStr">
        <is>
          <t>Transaction Processing Fees</t>
        </is>
      </c>
      <c r="F62" s="20" t="inlineStr">
        <is>
          <t>N6.87</t>
        </is>
      </c>
      <c r="H62" s="75" t="n"/>
      <c r="J62" s="791" t="n"/>
    </row>
    <row r="63" ht="15" customHeight="1" s="581" thickBot="1">
      <c r="B63" s="11" t="inlineStr">
        <is>
          <t>CR</t>
        </is>
      </c>
      <c r="C63" s="12" t="inlineStr">
        <is>
          <t>GL300301</t>
        </is>
      </c>
      <c r="D63" s="12" t="inlineStr">
        <is>
          <t>Revenue from Cashout</t>
        </is>
      </c>
      <c r="E63" s="12" t="inlineStr">
        <is>
          <t>Fees due to 9PSB</t>
        </is>
      </c>
      <c r="F63" s="12" t="inlineStr">
        <is>
          <t>N85.00</t>
        </is>
      </c>
    </row>
    <row r="64" ht="15" customHeight="1" s="581" thickBot="1">
      <c r="B64" s="11" t="inlineStr">
        <is>
          <t>CR</t>
        </is>
      </c>
      <c r="C64" s="12" t="n">
        <v>700506</v>
      </c>
      <c r="D64" s="12" t="inlineStr">
        <is>
          <t>VAT - Output</t>
        </is>
      </c>
      <c r="E64" s="12" t="inlineStr">
        <is>
          <t>VAT on Fees due to 9PSB</t>
        </is>
      </c>
      <c r="F64" s="12" t="inlineStr">
        <is>
          <t>N6.38</t>
        </is>
      </c>
      <c r="H64" s="76" t="n"/>
      <c r="I64" s="792" t="n"/>
    </row>
    <row r="65" ht="15" customHeight="1" s="581" thickBot="1">
      <c r="B65" s="68" t="inlineStr">
        <is>
          <t>CR</t>
        </is>
      </c>
      <c r="C65" s="69" t="inlineStr">
        <is>
          <t>SSSSSSSSSS</t>
        </is>
      </c>
      <c r="D65" s="69" t="inlineStr">
        <is>
          <t>SLP Cashout Commission</t>
        </is>
      </c>
      <c r="E65" s="70" t="inlineStr">
        <is>
          <t>Commission due to SLP less WHT</t>
        </is>
      </c>
      <c r="F65" s="70" t="inlineStr">
        <is>
          <t>N48.38</t>
        </is>
      </c>
      <c r="I65" s="790" t="n"/>
    </row>
    <row r="66" ht="15" customHeight="1" s="581" thickBot="1">
      <c r="B66" s="71" t="inlineStr">
        <is>
          <t>CR</t>
        </is>
      </c>
      <c r="C66" s="72" t="n">
        <v>700516</v>
      </c>
      <c r="D66" s="72" t="inlineStr">
        <is>
          <t>WHT - Commission</t>
        </is>
      </c>
      <c r="E66" s="73" t="inlineStr">
        <is>
          <t>WHT on SLP Commission</t>
        </is>
      </c>
      <c r="F66" s="74" t="inlineStr">
        <is>
          <t>N5.38</t>
        </is>
      </c>
      <c r="H66" s="75" t="n"/>
    </row>
    <row r="67" ht="29.15" customHeight="1" s="581">
      <c r="B67" s="16" t="n"/>
      <c r="C67" s="618" t="inlineStr">
        <is>
          <t>Note: AAAAAAAAAA - Varying Agent's account
         SSSSSSSSSS - Varying SLP's account</t>
        </is>
      </c>
      <c r="D67" s="559" t="n"/>
      <c r="E67" s="559" t="n"/>
      <c r="F67" s="559" t="n"/>
      <c r="H67" s="785" t="n"/>
      <c r="I67" s="785" t="n"/>
    </row>
    <row r="68">
      <c r="B68" s="16" t="n"/>
      <c r="C68" s="16" t="n"/>
      <c r="D68" s="16" t="n"/>
      <c r="E68" s="16" t="n"/>
      <c r="F68" s="16" t="n"/>
      <c r="H68" s="785" t="n"/>
      <c r="I68" s="785" t="n"/>
    </row>
    <row r="69">
      <c r="B69" s="16" t="n"/>
      <c r="C69" s="16" t="n"/>
      <c r="D69" s="16" t="n"/>
      <c r="E69" s="16" t="n"/>
      <c r="F69" s="16" t="n"/>
      <c r="H69" s="785" t="n"/>
    </row>
    <row r="70">
      <c r="B70" s="16" t="n"/>
      <c r="C70" s="16" t="n"/>
      <c r="D70" s="16" t="n"/>
      <c r="E70" s="16" t="n"/>
      <c r="F70" s="16" t="n"/>
      <c r="H70" s="785" t="n"/>
    </row>
    <row r="71">
      <c r="B71" s="16" t="n"/>
      <c r="C71" s="16" t="n"/>
      <c r="D71" s="16" t="n"/>
      <c r="E71" s="16" t="n"/>
      <c r="F71" s="16" t="n"/>
    </row>
    <row r="72">
      <c r="B72" s="16" t="n"/>
      <c r="C72" s="16" t="n"/>
      <c r="D72" s="16" t="n"/>
      <c r="E72" s="16" t="n"/>
      <c r="F72" s="16" t="n"/>
    </row>
    <row r="73">
      <c r="B73" s="16" t="n"/>
      <c r="C73" s="16" t="n"/>
      <c r="D73" s="16" t="n"/>
      <c r="E73" s="16" t="n"/>
      <c r="F73" s="16" t="n"/>
    </row>
    <row r="74">
      <c r="B74" s="16" t="n"/>
      <c r="C74" s="16" t="n"/>
      <c r="D74" s="16" t="n"/>
      <c r="E74" s="16" t="n"/>
      <c r="F74" s="16" t="n"/>
    </row>
    <row r="75">
      <c r="B75" s="617" t="n"/>
    </row>
    <row r="76">
      <c r="B76" s="13" t="n"/>
      <c r="C76" s="13" t="n"/>
      <c r="D76" s="13" t="n"/>
      <c r="E76" s="13" t="n"/>
      <c r="F76" s="13" t="n"/>
    </row>
    <row r="77">
      <c r="B77" s="16" t="n"/>
      <c r="C77" s="16" t="n"/>
      <c r="D77" s="16" t="n"/>
      <c r="E77" s="16" t="n"/>
      <c r="F77" s="16" t="n"/>
      <c r="G77" s="13" t="n"/>
    </row>
    <row r="78">
      <c r="B78" s="16" t="n"/>
      <c r="C78" s="16" t="n"/>
      <c r="D78" s="16" t="n"/>
      <c r="E78" s="16" t="n"/>
      <c r="F78" s="16" t="n"/>
      <c r="G78" s="16" t="n"/>
    </row>
    <row r="79">
      <c r="B79" s="16" t="n"/>
      <c r="C79" s="16" t="n"/>
      <c r="D79" s="16" t="n"/>
      <c r="E79" s="16" t="n"/>
      <c r="F79" s="16" t="n"/>
      <c r="G79" s="16" t="n"/>
    </row>
    <row r="80">
      <c r="B80" s="16" t="n"/>
      <c r="C80" s="16" t="n"/>
      <c r="D80" s="16" t="n"/>
      <c r="E80" s="16" t="n"/>
      <c r="F80" s="16" t="n"/>
      <c r="G80" s="16" t="n"/>
    </row>
    <row r="81">
      <c r="B81" s="16" t="n"/>
      <c r="C81" s="16" t="n"/>
      <c r="D81" s="16" t="n"/>
      <c r="E81" s="16" t="n"/>
      <c r="F81" s="16" t="n"/>
      <c r="G81" s="16" t="n"/>
    </row>
    <row r="82">
      <c r="B82" s="16" t="n"/>
      <c r="C82" s="16" t="n"/>
      <c r="D82" s="16" t="n"/>
      <c r="E82" s="16" t="n"/>
      <c r="F82" s="16" t="n"/>
    </row>
    <row r="83">
      <c r="B83" s="16" t="n"/>
      <c r="C83" s="16" t="n"/>
      <c r="D83" s="16" t="n"/>
      <c r="E83" s="16" t="n"/>
      <c r="F83" s="16" t="n"/>
    </row>
    <row r="84">
      <c r="B84" s="16" t="n"/>
      <c r="C84" s="16" t="n"/>
      <c r="D84" s="16" t="n"/>
      <c r="E84" s="16" t="n"/>
      <c r="F84" s="16" t="n"/>
    </row>
    <row r="85">
      <c r="B85" s="16" t="n"/>
      <c r="C85" s="16" t="n"/>
      <c r="D85" s="16" t="n"/>
      <c r="E85" s="16" t="n"/>
      <c r="F85" s="16" t="n"/>
    </row>
    <row r="86">
      <c r="B86" s="16" t="n"/>
      <c r="C86" s="16" t="n"/>
      <c r="D86" s="16" t="n"/>
      <c r="E86" s="16" t="n"/>
      <c r="F86" s="16" t="n"/>
    </row>
    <row r="88" ht="15" customHeight="1" s="581" thickBot="1"/>
    <row r="89" ht="15" customHeight="1" s="581" thickBot="1">
      <c r="B89" s="575" t="inlineStr">
        <is>
          <t>1A. Card Withdrawal (for amount N10,0001 to N100,000)</t>
        </is>
      </c>
      <c r="C89" s="573" t="n"/>
      <c r="D89" s="573" t="n"/>
      <c r="E89" s="573" t="n"/>
      <c r="F89" s="576" t="n"/>
    </row>
    <row r="90" ht="15" customHeight="1" s="581" thickBot="1">
      <c r="B90" s="8" t="inlineStr">
        <is>
          <t>Type</t>
        </is>
      </c>
      <c r="C90" s="9" t="inlineStr">
        <is>
          <t>Account Number</t>
        </is>
      </c>
      <c r="D90" s="9" t="inlineStr">
        <is>
          <t>Name</t>
        </is>
      </c>
      <c r="E90" s="9" t="inlineStr">
        <is>
          <t>Amount</t>
        </is>
      </c>
      <c r="F90" s="9" t="inlineStr">
        <is>
          <t>Value</t>
        </is>
      </c>
    </row>
    <row r="91" ht="15" customHeight="1" s="581" thickBot="1">
      <c r="B91" s="11" t="inlineStr">
        <is>
          <t>DR</t>
        </is>
      </c>
      <c r="C91" s="12" t="n">
        <v>200604</v>
      </c>
      <c r="D91" s="12" t="inlineStr">
        <is>
          <t>3LINE INSTANT - Receivable Account</t>
        </is>
      </c>
      <c r="E91" s="12" t="inlineStr">
        <is>
          <t xml:space="preserve">Transaction Amount </t>
        </is>
      </c>
      <c r="F91" s="12" t="inlineStr">
        <is>
          <t>Nxxx</t>
        </is>
      </c>
      <c r="G91" s="13" t="n"/>
    </row>
    <row r="92" ht="15" customHeight="1" s="581" thickBot="1">
      <c r="B92" s="11" t="inlineStr">
        <is>
          <t>CR</t>
        </is>
      </c>
      <c r="C92" s="12" t="inlineStr">
        <is>
          <t>AAAAAAAAAA</t>
        </is>
      </c>
      <c r="D92" s="12" t="inlineStr">
        <is>
          <t>Agent’s Account</t>
        </is>
      </c>
      <c r="E92" s="12" t="inlineStr">
        <is>
          <t xml:space="preserve">Transaction Amount </t>
        </is>
      </c>
      <c r="F92" s="12" t="inlineStr">
        <is>
          <t>Nxxx</t>
        </is>
      </c>
      <c r="G92" s="16" t="n"/>
    </row>
    <row r="93" ht="15" customHeight="1" s="581" thickBot="1">
      <c r="B93" s="11" t="inlineStr">
        <is>
          <t>DR</t>
        </is>
      </c>
      <c r="C93" s="12" t="inlineStr">
        <is>
          <t>AAAAAAAAAA</t>
        </is>
      </c>
      <c r="D93" s="12" t="inlineStr">
        <is>
          <t>Agent’s Account</t>
        </is>
      </c>
      <c r="E93" s="12" t="inlineStr">
        <is>
          <t>Switching fees due to 3Line</t>
        </is>
      </c>
      <c r="F93" s="12" t="inlineStr">
        <is>
          <t>N25.00</t>
        </is>
      </c>
      <c r="G93" s="16" t="n"/>
    </row>
    <row r="94" ht="15" customHeight="1" s="581" thickBot="1">
      <c r="B94" s="11" t="inlineStr">
        <is>
          <t>CR</t>
        </is>
      </c>
      <c r="C94" s="12" t="n">
        <v>200604</v>
      </c>
      <c r="D94" s="12" t="inlineStr">
        <is>
          <t>3LINE INSTANT - Receivable Account</t>
        </is>
      </c>
      <c r="E94" s="12" t="inlineStr">
        <is>
          <t>Switching fees due to 3Line</t>
        </is>
      </c>
      <c r="F94" s="12" t="inlineStr">
        <is>
          <t>N25.00</t>
        </is>
      </c>
      <c r="G94" s="16" t="n"/>
    </row>
    <row r="95" ht="15" customHeight="1" s="581" thickBot="1">
      <c r="B95" s="11" t="inlineStr">
        <is>
          <t>DR</t>
        </is>
      </c>
      <c r="C95" s="12" t="inlineStr">
        <is>
          <t>AAAAAAAAAA</t>
        </is>
      </c>
      <c r="D95" s="12" t="inlineStr">
        <is>
          <t>Agent’s Account</t>
        </is>
      </c>
      <c r="E95" s="12" t="inlineStr">
        <is>
          <t>Fees due to 9PSB</t>
        </is>
      </c>
      <c r="F95" s="12" t="inlineStr">
        <is>
          <t>N50.00</t>
        </is>
      </c>
      <c r="G95" s="16" t="n"/>
    </row>
    <row r="96" ht="15" customHeight="1" s="581" thickBot="1">
      <c r="B96" s="11" t="inlineStr">
        <is>
          <t>CR</t>
        </is>
      </c>
      <c r="C96" s="12" t="inlineStr">
        <is>
          <t>GL300301</t>
        </is>
      </c>
      <c r="D96" s="12" t="inlineStr">
        <is>
          <t>Revenue from Cashout</t>
        </is>
      </c>
      <c r="E96" s="12" t="inlineStr">
        <is>
          <t>Fees due to 9PSB</t>
        </is>
      </c>
      <c r="F96" s="12" t="inlineStr">
        <is>
          <t>N50.00</t>
        </is>
      </c>
    </row>
    <row r="97" ht="15" customHeight="1" s="581" thickBot="1">
      <c r="B97" s="11" t="inlineStr">
        <is>
          <t>DR</t>
        </is>
      </c>
      <c r="C97" s="12" t="inlineStr">
        <is>
          <t>AAAAAAAAAA</t>
        </is>
      </c>
      <c r="D97" s="12" t="inlineStr">
        <is>
          <t>Agent’s Account</t>
        </is>
      </c>
      <c r="E97" s="12" t="inlineStr">
        <is>
          <t>VAT on Fees due to 9PSB</t>
        </is>
      </c>
      <c r="F97" s="12" t="inlineStr">
        <is>
          <t>N3.73</t>
        </is>
      </c>
    </row>
    <row r="98" ht="15" customHeight="1" s="581" thickBot="1">
      <c r="B98" s="11" t="inlineStr">
        <is>
          <t>CR</t>
        </is>
      </c>
      <c r="C98" s="12" t="n">
        <v>700506</v>
      </c>
      <c r="D98" s="12" t="inlineStr">
        <is>
          <t>VAT - Output</t>
        </is>
      </c>
      <c r="E98" s="12" t="inlineStr">
        <is>
          <t>VAT on Fees due to 9PSB</t>
        </is>
      </c>
      <c r="F98" s="12" t="inlineStr">
        <is>
          <t>N3.75</t>
        </is>
      </c>
    </row>
    <row r="99" ht="15" customHeight="1" s="581" thickBot="1">
      <c r="B99" s="11" t="inlineStr">
        <is>
          <t>DR</t>
        </is>
      </c>
      <c r="C99" s="12" t="inlineStr">
        <is>
          <t>AAAAAAAAAA</t>
        </is>
      </c>
      <c r="D99" s="12" t="inlineStr">
        <is>
          <t>Agent’s Account</t>
        </is>
      </c>
      <c r="E99" s="12" t="inlineStr">
        <is>
          <t>Commission due to SLP subject to WHT</t>
        </is>
      </c>
      <c r="F99" s="12" t="inlineStr">
        <is>
          <t>N25.00</t>
        </is>
      </c>
    </row>
    <row r="100" ht="15" customHeight="1" s="581" thickBot="1">
      <c r="B100" s="11" t="inlineStr">
        <is>
          <t>CR</t>
        </is>
      </c>
      <c r="C100" s="12" t="inlineStr">
        <is>
          <t>GL 700310</t>
        </is>
      </c>
      <c r="D100" s="12" t="inlineStr">
        <is>
          <t>SLP Cashout Fee Payable</t>
        </is>
      </c>
      <c r="E100" s="12" t="inlineStr">
        <is>
          <t>Commission due to SLP subject to WHT</t>
        </is>
      </c>
      <c r="F100" s="12" t="inlineStr">
        <is>
          <t>N25.00</t>
        </is>
      </c>
    </row>
    <row r="103" ht="15" customHeight="1" s="581" thickBot="1">
      <c r="B103" s="571" t="inlineStr">
        <is>
          <t>(2) Cash Deposit/Interbank Transfer (All transaction amounts)</t>
        </is>
      </c>
      <c r="C103" s="570" t="n"/>
      <c r="D103" s="570" t="n"/>
      <c r="E103" s="570" t="n"/>
      <c r="F103" s="570" t="n"/>
    </row>
    <row r="104" ht="15" customHeight="1" s="581" thickBot="1">
      <c r="B104" s="25" t="inlineStr">
        <is>
          <t>Type</t>
        </is>
      </c>
      <c r="C104" s="26" t="inlineStr">
        <is>
          <t>Account Number</t>
        </is>
      </c>
      <c r="D104" s="27" t="inlineStr">
        <is>
          <t>Name</t>
        </is>
      </c>
      <c r="E104" s="26" t="inlineStr">
        <is>
          <t>Amount</t>
        </is>
      </c>
      <c r="F104" s="28" t="inlineStr">
        <is>
          <t>Sample Values</t>
        </is>
      </c>
    </row>
    <row r="105">
      <c r="B105" s="29" t="inlineStr">
        <is>
          <t>DR</t>
        </is>
      </c>
      <c r="C105" s="30" t="inlineStr">
        <is>
          <t>AAAAAAAAAA</t>
        </is>
      </c>
      <c r="D105" s="31" t="inlineStr">
        <is>
          <t>Agent’s Account</t>
        </is>
      </c>
      <c r="E105" s="30" t="inlineStr">
        <is>
          <t xml:space="preserve">Transaction Amount </t>
        </is>
      </c>
      <c r="F105" s="32" t="inlineStr">
        <is>
          <t xml:space="preserve">Nxxx </t>
        </is>
      </c>
    </row>
    <row r="106">
      <c r="B106" s="33" t="inlineStr">
        <is>
          <t>CR</t>
        </is>
      </c>
      <c r="C106" s="34" t="n">
        <v>700303</v>
      </c>
      <c r="D106" s="35" t="inlineStr">
        <is>
          <t>NIBSS Instant Payment Settlement Account</t>
        </is>
      </c>
      <c r="E106" s="34" t="inlineStr">
        <is>
          <t>Transaction Amount</t>
        </is>
      </c>
      <c r="F106" s="36" t="inlineStr">
        <is>
          <t>Nxxx</t>
        </is>
      </c>
    </row>
    <row r="107">
      <c r="B107" s="33" t="inlineStr">
        <is>
          <t>DR</t>
        </is>
      </c>
      <c r="C107" s="34" t="inlineStr">
        <is>
          <t>AAAAAAAAAA</t>
        </is>
      </c>
      <c r="D107" s="35" t="inlineStr">
        <is>
          <t>Agent’s Account</t>
        </is>
      </c>
      <c r="E107" s="34" t="inlineStr">
        <is>
          <t>NIP Switching Cost</t>
        </is>
      </c>
      <c r="F107" s="36" t="inlineStr">
        <is>
          <t>N5.50</t>
        </is>
      </c>
    </row>
    <row r="108">
      <c r="B108" s="33" t="inlineStr">
        <is>
          <t>CR</t>
        </is>
      </c>
      <c r="C108" s="34" t="n">
        <v>700304</v>
      </c>
      <c r="D108" s="35" t="inlineStr">
        <is>
          <t>NIBSS Fees Transactions</t>
        </is>
      </c>
      <c r="E108" s="34" t="inlineStr">
        <is>
          <t>NIP Switching Cost</t>
        </is>
      </c>
      <c r="F108" s="36" t="inlineStr">
        <is>
          <t>N5.50</t>
        </is>
      </c>
    </row>
    <row r="109">
      <c r="B109" s="33" t="inlineStr">
        <is>
          <t>DR</t>
        </is>
      </c>
      <c r="C109" s="34" t="inlineStr">
        <is>
          <t>AAAAAAAAAA</t>
        </is>
      </c>
      <c r="D109" s="35" t="inlineStr">
        <is>
          <t>Agent’s Account</t>
        </is>
      </c>
      <c r="E109" s="34" t="inlineStr">
        <is>
          <t>Fees due to 9PSB</t>
        </is>
      </c>
      <c r="F109" s="36" t="inlineStr">
        <is>
          <t>N10.00</t>
        </is>
      </c>
    </row>
    <row r="110" ht="15.5" customHeight="1" s="581">
      <c r="B110" s="33" t="inlineStr">
        <is>
          <t>CR</t>
        </is>
      </c>
      <c r="C110" s="793" t="n">
        <v>300302</v>
      </c>
      <c r="D110" s="64" t="inlineStr">
        <is>
          <t>Transfers Revenue</t>
        </is>
      </c>
      <c r="E110" s="34" t="inlineStr">
        <is>
          <t>Fees due to 9PSB</t>
        </is>
      </c>
      <c r="F110" s="36" t="inlineStr">
        <is>
          <t>N10.00</t>
        </is>
      </c>
    </row>
    <row r="111">
      <c r="B111" s="33" t="inlineStr">
        <is>
          <t>DR</t>
        </is>
      </c>
      <c r="C111" s="34" t="inlineStr">
        <is>
          <t>AAAAAAAAAA</t>
        </is>
      </c>
      <c r="D111" s="35" t="inlineStr">
        <is>
          <t>Agent’s Account</t>
        </is>
      </c>
      <c r="E111" s="34" t="inlineStr">
        <is>
          <t>VAT on Fees due to 9PSB</t>
        </is>
      </c>
      <c r="F111" s="36" t="inlineStr">
        <is>
          <t>N0.75</t>
        </is>
      </c>
    </row>
    <row r="112">
      <c r="B112" s="33" t="inlineStr">
        <is>
          <t>CR</t>
        </is>
      </c>
      <c r="C112" s="34" t="n">
        <v>700506</v>
      </c>
      <c r="D112" s="35" t="inlineStr">
        <is>
          <t>VAT - Output</t>
        </is>
      </c>
      <c r="E112" s="34" t="inlineStr">
        <is>
          <t>VAT on Fees due to 9PSB</t>
        </is>
      </c>
      <c r="F112" s="36" t="inlineStr">
        <is>
          <t>N0.75</t>
        </is>
      </c>
    </row>
    <row r="113">
      <c r="B113" s="33" t="inlineStr">
        <is>
          <t>DR</t>
        </is>
      </c>
      <c r="C113" s="34" t="inlineStr">
        <is>
          <t>AAAAAAAAAA</t>
        </is>
      </c>
      <c r="D113" s="35" t="inlineStr">
        <is>
          <t>Agent’s Account</t>
        </is>
      </c>
      <c r="E113" s="34" t="inlineStr">
        <is>
          <t>Commission due to SLP subject to WHT</t>
        </is>
      </c>
      <c r="F113" s="36" t="inlineStr">
        <is>
          <t>N9.50</t>
        </is>
      </c>
    </row>
    <row r="114" ht="15" customHeight="1" s="581" thickBot="1">
      <c r="B114" s="39" t="inlineStr">
        <is>
          <t>CR</t>
        </is>
      </c>
      <c r="C114" s="40" t="inlineStr">
        <is>
          <t>GL 700311</t>
        </is>
      </c>
      <c r="D114" s="12" t="inlineStr">
        <is>
          <t>SLP Transfer Fee Payable</t>
        </is>
      </c>
      <c r="E114" s="34" t="inlineStr">
        <is>
          <t>Commission due to SLP subject to WHT</t>
        </is>
      </c>
      <c r="F114" s="41" t="inlineStr">
        <is>
          <t>N9.50</t>
        </is>
      </c>
    </row>
    <row r="116" ht="15" customHeight="1" s="581" thickBot="1">
      <c r="B116" s="571" t="inlineStr">
        <is>
          <t>(3) Intrabank Transfers (All transaction amounts)</t>
        </is>
      </c>
      <c r="C116" s="570" t="n"/>
      <c r="D116" s="570" t="n"/>
      <c r="E116" s="570" t="n"/>
      <c r="F116" s="570" t="n"/>
    </row>
    <row r="117" ht="15" customHeight="1" s="581" thickBot="1">
      <c r="B117" s="42" t="inlineStr">
        <is>
          <t>Type</t>
        </is>
      </c>
      <c r="C117" s="43" t="inlineStr">
        <is>
          <t>Account Number</t>
        </is>
      </c>
      <c r="D117" s="43" t="inlineStr">
        <is>
          <t>Name</t>
        </is>
      </c>
      <c r="E117" s="43" t="inlineStr">
        <is>
          <t>Amount</t>
        </is>
      </c>
      <c r="F117" s="43" t="inlineStr">
        <is>
          <t>Sample Values</t>
        </is>
      </c>
    </row>
    <row r="118" ht="15" customHeight="1" s="581" thickBot="1">
      <c r="B118" s="11" t="inlineStr">
        <is>
          <t>DR</t>
        </is>
      </c>
      <c r="C118" s="12" t="inlineStr">
        <is>
          <t>XXXXXXXXXX</t>
        </is>
      </c>
      <c r="D118" s="12" t="inlineStr">
        <is>
          <t>Sender’s Name</t>
        </is>
      </c>
      <c r="E118" s="12" t="inlineStr">
        <is>
          <t>Transaction Amount</t>
        </is>
      </c>
      <c r="F118" s="12" t="inlineStr">
        <is>
          <t>Nxxx</t>
        </is>
      </c>
    </row>
    <row r="119" ht="15" customHeight="1" s="581" thickBot="1">
      <c r="B119" s="11" t="inlineStr">
        <is>
          <t>CR</t>
        </is>
      </c>
      <c r="C119" s="12" t="inlineStr">
        <is>
          <t>YYYYYYYYYY</t>
        </is>
      </c>
      <c r="D119" s="12" t="inlineStr">
        <is>
          <t>Beneficiary’s Name</t>
        </is>
      </c>
      <c r="E119" s="12" t="inlineStr">
        <is>
          <t>Transaction Amount</t>
        </is>
      </c>
      <c r="F119" s="12" t="inlineStr">
        <is>
          <t>Nxxx</t>
        </is>
      </c>
    </row>
    <row r="121" ht="15" customHeight="1" s="581" thickBot="1"/>
    <row r="122" ht="15" customHeight="1" s="581" thickBot="1">
      <c r="B122" s="577" t="inlineStr">
        <is>
          <t>(4)	Token Withdrawal</t>
        </is>
      </c>
      <c r="C122" s="559" t="n"/>
      <c r="D122" s="559" t="n"/>
      <c r="E122" s="559" t="n"/>
      <c r="F122" s="578" t="n"/>
    </row>
    <row r="123">
      <c r="B123" s="44" t="inlineStr">
        <is>
          <t>Type</t>
        </is>
      </c>
      <c r="C123" s="45" t="inlineStr">
        <is>
          <t>Account Number</t>
        </is>
      </c>
      <c r="D123" s="46" t="inlineStr">
        <is>
          <t>Name</t>
        </is>
      </c>
      <c r="E123" s="30" t="inlineStr">
        <is>
          <t>Amount</t>
        </is>
      </c>
      <c r="F123" s="47" t="inlineStr">
        <is>
          <t>Sample Values</t>
        </is>
      </c>
    </row>
    <row r="124">
      <c r="B124" s="48" t="inlineStr">
        <is>
          <t>DR</t>
        </is>
      </c>
      <c r="C124" s="49" t="inlineStr">
        <is>
          <t>XXXXXXXXXX</t>
        </is>
      </c>
      <c r="D124" s="50" t="inlineStr">
        <is>
          <t>Customer’s Name</t>
        </is>
      </c>
      <c r="E124" s="34" t="inlineStr">
        <is>
          <t xml:space="preserve">Transaction Amount </t>
        </is>
      </c>
      <c r="F124" s="36" t="inlineStr">
        <is>
          <t xml:space="preserve">Nxxx </t>
        </is>
      </c>
    </row>
    <row r="125">
      <c r="B125" s="48" t="inlineStr">
        <is>
          <t>CR</t>
        </is>
      </c>
      <c r="C125" s="49" t="inlineStr">
        <is>
          <t>AAAAAAAAAA</t>
        </is>
      </c>
      <c r="D125" s="50" t="inlineStr">
        <is>
          <t>Agent’s Account</t>
        </is>
      </c>
      <c r="E125" s="34" t="inlineStr">
        <is>
          <t xml:space="preserve">Transaction Amount </t>
        </is>
      </c>
      <c r="F125" s="36" t="inlineStr">
        <is>
          <t xml:space="preserve">Nxxx </t>
        </is>
      </c>
    </row>
    <row r="126">
      <c r="B126" s="48" t="inlineStr">
        <is>
          <t>DR</t>
        </is>
      </c>
      <c r="C126" s="49" t="inlineStr">
        <is>
          <t>AAAAAAAAAA</t>
        </is>
      </c>
      <c r="D126" s="50" t="inlineStr">
        <is>
          <t>Agent’s Account</t>
        </is>
      </c>
      <c r="E126" s="34" t="inlineStr">
        <is>
          <t>Fees due to 9PSB</t>
        </is>
      </c>
      <c r="F126" s="36" t="inlineStr">
        <is>
          <t>N30.00</t>
        </is>
      </c>
    </row>
    <row r="127">
      <c r="B127" s="48" t="inlineStr">
        <is>
          <t>CR</t>
        </is>
      </c>
      <c r="C127" s="49" t="inlineStr">
        <is>
          <t>PL 300313</t>
        </is>
      </c>
      <c r="D127" s="50" t="inlineStr">
        <is>
          <t>Revenue from Token withdrawal</t>
        </is>
      </c>
      <c r="E127" s="34" t="inlineStr">
        <is>
          <t>Fees due to 9PSB</t>
        </is>
      </c>
      <c r="F127" s="36" t="inlineStr">
        <is>
          <t>N30.00</t>
        </is>
      </c>
    </row>
    <row r="128">
      <c r="B128" s="48" t="inlineStr">
        <is>
          <t>DR</t>
        </is>
      </c>
      <c r="C128" s="49" t="inlineStr">
        <is>
          <t>AAAAAAAAAA</t>
        </is>
      </c>
      <c r="D128" s="50" t="inlineStr">
        <is>
          <t>Agent’s Account</t>
        </is>
      </c>
      <c r="E128" s="34" t="inlineStr">
        <is>
          <t>VAT on Fee due to 9PSB</t>
        </is>
      </c>
      <c r="F128" s="36" t="inlineStr">
        <is>
          <t>N2.25</t>
        </is>
      </c>
    </row>
    <row r="129">
      <c r="B129" s="48" t="inlineStr">
        <is>
          <t>CR</t>
        </is>
      </c>
      <c r="C129" s="49" t="n">
        <v>700506</v>
      </c>
      <c r="D129" s="50" t="inlineStr">
        <is>
          <t>VAT - Output</t>
        </is>
      </c>
      <c r="E129" s="34" t="inlineStr">
        <is>
          <t>VAT on Fee due to 9PSB</t>
        </is>
      </c>
      <c r="F129" s="36" t="inlineStr">
        <is>
          <t>N2.25</t>
        </is>
      </c>
    </row>
    <row r="130">
      <c r="B130" s="48" t="inlineStr">
        <is>
          <t>DR</t>
        </is>
      </c>
      <c r="C130" s="49" t="inlineStr">
        <is>
          <t>AAAAAAAAAA</t>
        </is>
      </c>
      <c r="D130" s="50" t="inlineStr">
        <is>
          <t>Agent’s Account</t>
        </is>
      </c>
      <c r="E130" s="34" t="inlineStr">
        <is>
          <t>Commission due to SLP subject to WHT</t>
        </is>
      </c>
      <c r="F130" s="36" t="inlineStr">
        <is>
          <t>N20.00</t>
        </is>
      </c>
    </row>
    <row r="131" ht="15" customHeight="1" s="581" thickBot="1">
      <c r="B131" s="53" t="inlineStr">
        <is>
          <t>CR</t>
        </is>
      </c>
      <c r="C131" s="54" t="inlineStr">
        <is>
          <t>GL 700312</t>
        </is>
      </c>
      <c r="D131" s="63" t="inlineStr">
        <is>
          <t>SLPToken Fee Payable</t>
        </is>
      </c>
      <c r="E131" s="34" t="inlineStr">
        <is>
          <t>Commission due to SLP subject to WHT</t>
        </is>
      </c>
      <c r="F131" s="41" t="inlineStr">
        <is>
          <t>N20.00</t>
        </is>
      </c>
    </row>
    <row r="134" ht="15" customHeight="1" s="581" thickBot="1"/>
    <row r="135" ht="15" customHeight="1" s="581" thickBot="1">
      <c r="B135" s="572" t="inlineStr">
        <is>
          <t xml:space="preserve">(5) Bills Payment </t>
        </is>
      </c>
      <c r="C135" s="573" t="n"/>
      <c r="D135" s="573" t="n"/>
      <c r="E135" s="573" t="n"/>
      <c r="F135" s="574" t="n"/>
    </row>
    <row r="136" ht="15" customHeight="1" s="581" thickBot="1">
      <c r="B136" s="26" t="inlineStr">
        <is>
          <t>Type</t>
        </is>
      </c>
      <c r="C136" s="28" t="inlineStr">
        <is>
          <t>Account Number</t>
        </is>
      </c>
      <c r="D136" s="28" t="inlineStr">
        <is>
          <t>Name</t>
        </is>
      </c>
      <c r="E136" s="30" t="inlineStr">
        <is>
          <t>Amount</t>
        </is>
      </c>
      <c r="F136" s="28" t="inlineStr">
        <is>
          <t>Sample Values</t>
        </is>
      </c>
    </row>
    <row r="137">
      <c r="B137" s="56" t="inlineStr">
        <is>
          <t>DR</t>
        </is>
      </c>
      <c r="C137" s="57" t="inlineStr">
        <is>
          <t>AAAAAAAAAA</t>
        </is>
      </c>
      <c r="D137" s="57" t="inlineStr">
        <is>
          <t>Agent’s Account</t>
        </is>
      </c>
      <c r="E137" s="34" t="inlineStr">
        <is>
          <t xml:space="preserve">Bill Amount </t>
        </is>
      </c>
      <c r="F137" s="58" t="inlineStr">
        <is>
          <t xml:space="preserve">Nxxx </t>
        </is>
      </c>
    </row>
    <row r="138">
      <c r="B138" s="48" t="inlineStr">
        <is>
          <t>CR</t>
        </is>
      </c>
      <c r="C138" s="49" t="n">
        <v>700301</v>
      </c>
      <c r="D138" s="49" t="inlineStr">
        <is>
          <t>Settlement Acct-Merchant-Cloud Interactive</t>
        </is>
      </c>
      <c r="E138" s="34" t="inlineStr">
        <is>
          <t>Bill Amount</t>
        </is>
      </c>
      <c r="F138" s="59" t="inlineStr">
        <is>
          <t>Nxxx</t>
        </is>
      </c>
    </row>
    <row r="139">
      <c r="B139" s="48" t="inlineStr">
        <is>
          <t>DR</t>
        </is>
      </c>
      <c r="C139" s="49" t="inlineStr">
        <is>
          <t>AAAAAAAAAA</t>
        </is>
      </c>
      <c r="D139" s="49" t="inlineStr">
        <is>
          <t>Agent’s Account</t>
        </is>
      </c>
      <c r="E139" s="34" t="inlineStr">
        <is>
          <t>Fees due to 9PSB</t>
        </is>
      </c>
      <c r="F139" s="59" t="inlineStr">
        <is>
          <t>N30.00</t>
        </is>
      </c>
    </row>
    <row r="140" ht="15.5" customHeight="1" s="581">
      <c r="B140" s="48" t="inlineStr">
        <is>
          <t>CR</t>
        </is>
      </c>
      <c r="C140" s="794" t="inlineStr">
        <is>
          <t>PL 300401</t>
        </is>
      </c>
      <c r="D140" s="65" t="inlineStr">
        <is>
          <t>Digital Merchant Service Fee RENAME Income from Bill Payment (Agent)</t>
        </is>
      </c>
      <c r="E140" s="34" t="inlineStr">
        <is>
          <t>Fees due to 9PSB</t>
        </is>
      </c>
      <c r="F140" s="59" t="inlineStr">
        <is>
          <t>N30.00</t>
        </is>
      </c>
    </row>
    <row r="141">
      <c r="B141" s="48" t="inlineStr">
        <is>
          <t>DR</t>
        </is>
      </c>
      <c r="C141" s="49" t="inlineStr">
        <is>
          <t>AAAAAAAAAA</t>
        </is>
      </c>
      <c r="D141" s="49" t="inlineStr">
        <is>
          <t>Agent’s Account</t>
        </is>
      </c>
      <c r="E141" s="34" t="inlineStr">
        <is>
          <t>VAT on Fee due to 9PSB</t>
        </is>
      </c>
      <c r="F141" s="59" t="inlineStr">
        <is>
          <t>N2.25</t>
        </is>
      </c>
    </row>
    <row r="142">
      <c r="B142" s="48" t="inlineStr">
        <is>
          <t>CR</t>
        </is>
      </c>
      <c r="C142" s="49" t="n">
        <v>700506</v>
      </c>
      <c r="D142" s="49" t="inlineStr">
        <is>
          <t>VAT - Output</t>
        </is>
      </c>
      <c r="E142" s="34" t="inlineStr">
        <is>
          <t>VAT on Fee due to 9PSB</t>
        </is>
      </c>
      <c r="F142" s="59" t="inlineStr">
        <is>
          <t>N2.25</t>
        </is>
      </c>
    </row>
    <row r="143">
      <c r="B143" s="48" t="inlineStr">
        <is>
          <t>DR</t>
        </is>
      </c>
      <c r="C143" s="49" t="inlineStr">
        <is>
          <t>AAAAAAAAAA</t>
        </is>
      </c>
      <c r="D143" s="49" t="inlineStr">
        <is>
          <t>Agent’s Account</t>
        </is>
      </c>
      <c r="E143" s="34" t="inlineStr">
        <is>
          <t>Commission due to SLP subject to WHT</t>
        </is>
      </c>
      <c r="F143" s="59" t="inlineStr">
        <is>
          <t>N20.00</t>
        </is>
      </c>
    </row>
    <row r="144" ht="15" customHeight="1" s="581" thickBot="1">
      <c r="B144" s="53" t="inlineStr">
        <is>
          <t>CR</t>
        </is>
      </c>
      <c r="C144" s="54" t="inlineStr">
        <is>
          <t>GL 700313</t>
        </is>
      </c>
      <c r="D144" s="12" t="inlineStr">
        <is>
          <t>SLPBills Payment Fee Payable</t>
        </is>
      </c>
      <c r="E144" s="34" t="inlineStr">
        <is>
          <t>Commission due to SLP subject to WHT</t>
        </is>
      </c>
      <c r="F144" s="62" t="inlineStr">
        <is>
          <t>N20.00</t>
        </is>
      </c>
    </row>
    <row r="146" ht="15" customHeight="1" s="581" thickBot="1"/>
    <row r="147" ht="15" customHeight="1" s="581" thickBot="1">
      <c r="B147" s="572" t="inlineStr">
        <is>
          <t xml:space="preserve">(6) Airtime/Data Topup </t>
        </is>
      </c>
      <c r="C147" s="573" t="n"/>
      <c r="D147" s="573" t="n"/>
      <c r="E147" s="573" t="n"/>
      <c r="F147" s="574" t="n"/>
    </row>
    <row r="148" ht="15" customHeight="1" s="581" thickBot="1">
      <c r="B148" s="42" t="inlineStr">
        <is>
          <t>Type</t>
        </is>
      </c>
      <c r="C148" s="43" t="inlineStr">
        <is>
          <t>Account Number</t>
        </is>
      </c>
      <c r="D148" s="43" t="inlineStr">
        <is>
          <t>Name</t>
        </is>
      </c>
      <c r="E148" s="43" t="inlineStr">
        <is>
          <t>Amount</t>
        </is>
      </c>
      <c r="F148" s="43" t="inlineStr">
        <is>
          <t>Sample Values</t>
        </is>
      </c>
    </row>
    <row r="149" ht="15" customHeight="1" s="581" thickBot="1">
      <c r="B149" s="11" t="inlineStr">
        <is>
          <t>DR</t>
        </is>
      </c>
      <c r="C149" s="12" t="inlineStr">
        <is>
          <t>AAAAAAAAAA</t>
        </is>
      </c>
      <c r="D149" s="12" t="inlineStr">
        <is>
          <t>Agent’s Account</t>
        </is>
      </c>
      <c r="E149" s="12" t="inlineStr">
        <is>
          <t xml:space="preserve">Airtime/Data Amount </t>
        </is>
      </c>
      <c r="F149" s="12" t="inlineStr">
        <is>
          <t xml:space="preserve">Nxxx </t>
        </is>
      </c>
    </row>
    <row r="150" ht="15" customHeight="1" s="581" thickBot="1">
      <c r="B150" s="11" t="inlineStr">
        <is>
          <t>CR</t>
        </is>
      </c>
      <c r="C150" s="12" t="n">
        <v>700301</v>
      </c>
      <c r="D150" s="12" t="inlineStr">
        <is>
          <t>Settlement Acct-Merchant-Cloud Interactive</t>
        </is>
      </c>
      <c r="E150" s="12" t="inlineStr">
        <is>
          <t>Airtime/Data Amount</t>
        </is>
      </c>
      <c r="F150" s="12" t="inlineStr">
        <is>
          <t>Nxxx</t>
        </is>
      </c>
    </row>
    <row r="151" ht="15" customHeight="1" s="581" thickBot="1">
      <c r="B151" s="11" t="inlineStr">
        <is>
          <t>DR</t>
        </is>
      </c>
      <c r="C151" s="12" t="n">
        <v>700301</v>
      </c>
      <c r="D151" s="12" t="inlineStr">
        <is>
          <t>Settlement Acct-Merchant-Cloud Interactive</t>
        </is>
      </c>
      <c r="E151" s="12" t="inlineStr">
        <is>
          <t>0.015* Airtime/Data Amount</t>
        </is>
      </c>
      <c r="F151" s="12" t="inlineStr">
        <is>
          <t>0.015 * Nxxx</t>
        </is>
      </c>
    </row>
    <row r="152" ht="15" customHeight="1" s="581" thickBot="1">
      <c r="B152" s="11" t="inlineStr">
        <is>
          <t>CR</t>
        </is>
      </c>
      <c r="C152" s="12" t="inlineStr">
        <is>
          <t>AAAAAAAAAA</t>
        </is>
      </c>
      <c r="D152" s="12" t="inlineStr">
        <is>
          <t>Agent’s Account</t>
        </is>
      </c>
      <c r="E152" s="12" t="inlineStr">
        <is>
          <t>0.015* Airtime/Data Amount</t>
        </is>
      </c>
      <c r="F152" s="12" t="inlineStr">
        <is>
          <t>0.015 * Nxxx</t>
        </is>
      </c>
    </row>
  </sheetData>
  <mergeCells count="24">
    <mergeCell ref="B75:F75"/>
    <mergeCell ref="B1:D1"/>
    <mergeCell ref="C67:F67"/>
    <mergeCell ref="B122:F122"/>
    <mergeCell ref="B37:D37"/>
    <mergeCell ref="B2:F2"/>
    <mergeCell ref="B25:E25"/>
    <mergeCell ref="B59:E59"/>
    <mergeCell ref="C33:F33"/>
    <mergeCell ref="B20:D20"/>
    <mergeCell ref="B53:F53"/>
    <mergeCell ref="B147:F147"/>
    <mergeCell ref="B116:F116"/>
    <mergeCell ref="B103:F103"/>
    <mergeCell ref="B19:F19"/>
    <mergeCell ref="C16:F16"/>
    <mergeCell ref="B42:E42"/>
    <mergeCell ref="C50:F50"/>
    <mergeCell ref="B54:D54"/>
    <mergeCell ref="B3:D3"/>
    <mergeCell ref="B8:E8"/>
    <mergeCell ref="B89:F89"/>
    <mergeCell ref="B36:F36"/>
    <mergeCell ref="B135:F135"/>
  </mergeCells>
  <conditionalFormatting sqref="C110">
    <cfRule type="duplicateValues" priority="8" dxfId="0"/>
  </conditionalFormatting>
  <conditionalFormatting sqref="C140">
    <cfRule type="duplicateValues" priority="4" dxfId="0"/>
  </conditionalFormatting>
  <conditionalFormatting sqref="D110">
    <cfRule type="duplicateValues" priority="5" dxfId="0"/>
    <cfRule type="duplicateValues" priority="6" dxfId="0"/>
    <cfRule type="duplicateValues" priority="7" dxfId="0"/>
  </conditionalFormatting>
  <conditionalFormatting sqref="D140">
    <cfRule type="duplicateValues" priority="1" dxfId="0"/>
    <cfRule type="duplicateValues" priority="2" dxfId="0"/>
    <cfRule type="duplicateValues" priority="3" dxfId="0"/>
  </conditionalFormatting>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Timileyin Abdulsalam</dc:creator>
  <dcterms:created xsi:type="dcterms:W3CDTF">2021-06-16T17:24:51Z</dcterms:created>
  <dcterms:modified xsi:type="dcterms:W3CDTF">2026-06-21T19:26:06Z</dcterms:modified>
  <cp:lastModifiedBy>Timileyin Abdulsalam</cp:lastModifiedBy>
  <cp:lastPrinted>2021-07-10T10:29:48Z</cp:lastPrinted>
</cp:coreProperties>
</file>

<file path=docProps/custom.xml><?xml version="1.0" encoding="utf-8"?>
<Properties xmlns:vt="http://schemas.openxmlformats.org/officeDocument/2006/docPropsVTypes" xmlns="http://schemas.openxmlformats.org/officeDocument/2006/custom-properties">
  <property name="MSIP_Label_d0060fd4-8245-4b04-9199-427b8da58839_Enabled" fmtid="{D5CDD505-2E9C-101B-9397-08002B2CF9AE}" pid="2">
    <vt:lpwstr>true</vt:lpwstr>
  </property>
  <property name="MSIP_Label_d0060fd4-8245-4b04-9199-427b8da58839_SetDate" fmtid="{D5CDD505-2E9C-101B-9397-08002B2CF9AE}" pid="3">
    <vt:lpwstr>2025-01-08T10:36:58Z</vt:lpwstr>
  </property>
  <property name="MSIP_Label_d0060fd4-8245-4b04-9199-427b8da58839_Method" fmtid="{D5CDD505-2E9C-101B-9397-08002B2CF9AE}" pid="4">
    <vt:lpwstr>Privileged</vt:lpwstr>
  </property>
  <property name="MSIP_Label_d0060fd4-8245-4b04-9199-427b8da58839_Name" fmtid="{D5CDD505-2E9C-101B-9397-08002B2CF9AE}" pid="5">
    <vt:lpwstr>Public</vt:lpwstr>
  </property>
  <property name="MSIP_Label_d0060fd4-8245-4b04-9199-427b8da58839_SiteId" fmtid="{D5CDD505-2E9C-101B-9397-08002B2CF9AE}" pid="6">
    <vt:lpwstr>4ab80ab2-712d-49b3-83b1-46c532dcab11</vt:lpwstr>
  </property>
  <property name="MSIP_Label_d0060fd4-8245-4b04-9199-427b8da58839_ActionId" fmtid="{D5CDD505-2E9C-101B-9397-08002B2CF9AE}" pid="7">
    <vt:lpwstr>48470ef4-f1b2-4549-aadc-bbcb6c17119e</vt:lpwstr>
  </property>
  <property name="MSIP_Label_d0060fd4-8245-4b04-9199-427b8da58839_ContentBits" fmtid="{D5CDD505-2E9C-101B-9397-08002B2CF9AE}" pid="8">
    <vt:lpwstr>0</vt:lpwstr>
  </property>
  <property name="ContentTypeId" fmtid="{D5CDD505-2E9C-101B-9397-08002B2CF9AE}" pid="9">
    <vt:lpwstr>0x010100FE411400CEE83B44B0415ED27B551628</vt:lpwstr>
  </property>
  <property name="MediaServiceImageTags" fmtid="{D5CDD505-2E9C-101B-9397-08002B2CF9AE}" pid="10">
    <vt:lpwstr/>
  </property>
</Properties>
</file>